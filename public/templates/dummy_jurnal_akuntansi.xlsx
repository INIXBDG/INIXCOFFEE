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e\2026\Catatan Rifa Finance\"/>
    </mc:Choice>
  </mc:AlternateContent>
  <xr:revisionPtr revIDLastSave="0" documentId="8_{96B03349-98EC-4EB7-B640-BCA49823E025}" xr6:coauthVersionLast="47" xr6:coauthVersionMax="47" xr10:uidLastSave="{00000000-0000-0000-0000-000000000000}"/>
  <bookViews>
    <workbookView xWindow="-110" yWindow="-110" windowWidth="19420" windowHeight="10300" xr2:uid="{0AC07157-F692-4DF2-9221-63A8D3226BE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12" i="1"/>
  <c r="E27" i="1"/>
  <c r="F28" i="1" s="1"/>
  <c r="E11" i="1"/>
  <c r="F12" i="1" s="1"/>
  <c r="G8" i="1"/>
  <c r="G37" i="1" s="1"/>
  <c r="G28" i="1" l="1"/>
</calcChain>
</file>

<file path=xl/sharedStrings.xml><?xml version="1.0" encoding="utf-8"?>
<sst xmlns="http://schemas.openxmlformats.org/spreadsheetml/2006/main" count="53" uniqueCount="43">
  <si>
    <t>PT INIXINDO AMIETE MANDIRI</t>
  </si>
  <si>
    <t>KAS KECIL ( PETTY CASH )</t>
  </si>
  <si>
    <t>1-3 Juli 2026</t>
  </si>
  <si>
    <t>Tanggal</t>
  </si>
  <si>
    <t>Cat.</t>
  </si>
  <si>
    <t>Debit</t>
  </si>
  <si>
    <t>Kredit</t>
  </si>
  <si>
    <t>Saldo</t>
  </si>
  <si>
    <r>
      <rPr>
        <b/>
        <sz val="12"/>
        <rFont val="Arial"/>
        <family val="2"/>
      </rPr>
      <t>Kas</t>
    </r>
  </si>
  <si>
    <t>(Rp.)</t>
  </si>
  <si>
    <t>Pindahan saldo Bulan Juni (W1)</t>
  </si>
  <si>
    <r>
      <t xml:space="preserve">     </t>
    </r>
    <r>
      <rPr>
        <b/>
        <i/>
        <sz val="12"/>
        <rFont val="Arial"/>
        <family val="2"/>
      </rPr>
      <t>Petty Cash</t>
    </r>
  </si>
  <si>
    <t>Biaya Keperluan R/T &amp; Dapur</t>
  </si>
  <si>
    <t>8.3</t>
  </si>
  <si>
    <t>Cash</t>
  </si>
  <si>
    <t>KK-1379</t>
  </si>
  <si>
    <t>2 Pax Aqua @37.500 Rp75.000</t>
  </si>
  <si>
    <t>1 Vlok Rp6.000</t>
  </si>
  <si>
    <t>1 Dop Rp4.000</t>
  </si>
  <si>
    <t>Sunkist Navel Rp24.529</t>
  </si>
  <si>
    <t>Jeruk Lemon Rp16.950</t>
  </si>
  <si>
    <t>Marjan Rp29.200</t>
  </si>
  <si>
    <t>Kresek Rp300</t>
  </si>
  <si>
    <t xml:space="preserve">Parkir Rp2.000 </t>
  </si>
  <si>
    <t>Dikurangi Rp6</t>
  </si>
  <si>
    <t>1bal Cemilan kuping gajah Rp65.000</t>
  </si>
  <si>
    <t>1bal CemilanRp75.000</t>
  </si>
  <si>
    <t>KK-1380</t>
  </si>
  <si>
    <t>2Pax Poli Bag Rp50.000</t>
  </si>
  <si>
    <t>2Pax Piring Plastik Rp60.000</t>
  </si>
  <si>
    <t>saldo awal</t>
  </si>
  <si>
    <t>kas masuk</t>
  </si>
  <si>
    <t>kas keluar</t>
  </si>
  <si>
    <t>saldo akhir</t>
  </si>
  <si>
    <t>Dilaporkan Oleh,</t>
  </si>
  <si>
    <t>Diketahui Oleh,</t>
  </si>
  <si>
    <t>Diperiksa Oleh,</t>
  </si>
  <si>
    <t xml:space="preserve">Rifa Siti Fatimah </t>
  </si>
  <si>
    <t>Xepi Twinarti</t>
  </si>
  <si>
    <t>Lestari Stannia</t>
  </si>
  <si>
    <t>Finance</t>
  </si>
  <si>
    <t xml:space="preserve">Accounting 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</si>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</sst>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_-;_-@_-"/>
    <numFmt numFmtId="166" formatCode="_-* #,##0.00_-;\-* #,##0.00_-;_-* &quot;-&quot;_-;_-@_-"/>
    <numFmt numFmtId="167" formatCode="_-&quot;Rp&quot;* #,##0_-;&quot;-Rp&quot;* #,##0_-;_-&quot;Rp&quot;* \-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2"/>
      <color indexed="10"/>
      <name val="Arial"/>
      <family val="2"/>
    </font>
    <font>
      <sz val="11"/>
      <color rgb="FF000000"/>
      <name val="Calibri"/>
      <family val="2"/>
      <charset val="1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u/>
      <sz val="12"/>
      <name val="Arial"/>
      <family val="2"/>
    </font>
    <font>
      <b/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Border="0" applyProtection="0"/>
    <xf numFmtId="44" fontId="4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15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5" fillId="2" borderId="1" xfId="1" applyFont="1" applyFill="1" applyBorder="1" applyAlignment="1" applyProtection="1">
      <alignment horizont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164" fontId="5" fillId="2" borderId="1" xfId="2" applyFont="1" applyFill="1" applyBorder="1" applyAlignment="1" applyProtection="1">
      <alignment horizontal="center"/>
      <protection locked="0"/>
    </xf>
    <xf numFmtId="164" fontId="5" fillId="2" borderId="2" xfId="2" applyFont="1" applyFill="1" applyBorder="1" applyAlignment="1" applyProtection="1">
      <alignment horizontal="center"/>
      <protection locked="0"/>
    </xf>
    <xf numFmtId="0" fontId="6" fillId="2" borderId="3" xfId="1" applyFont="1" applyFill="1" applyBorder="1" applyAlignment="1" applyProtection="1">
      <alignment horizontal="center"/>
      <protection locked="0"/>
    </xf>
    <xf numFmtId="0" fontId="7" fillId="2" borderId="0" xfId="1" applyFont="1" applyFill="1" applyAlignment="1" applyProtection="1">
      <alignment horizontal="center"/>
      <protection locked="0"/>
    </xf>
    <xf numFmtId="0" fontId="8" fillId="2" borderId="3" xfId="1" applyFont="1" applyFill="1" applyBorder="1" applyAlignment="1" applyProtection="1">
      <alignment horizontal="center"/>
      <protection locked="0"/>
    </xf>
    <xf numFmtId="0" fontId="8" fillId="2" borderId="0" xfId="1" applyFont="1" applyFill="1" applyAlignment="1" applyProtection="1">
      <alignment horizontal="center" vertical="center"/>
      <protection locked="0"/>
    </xf>
    <xf numFmtId="164" fontId="5" fillId="2" borderId="3" xfId="2" applyFont="1" applyFill="1" applyBorder="1" applyAlignment="1" applyProtection="1">
      <alignment horizontal="center"/>
      <protection locked="0"/>
    </xf>
    <xf numFmtId="164" fontId="5" fillId="2" borderId="0" xfId="2" applyFont="1" applyFill="1" applyBorder="1" applyAlignment="1" applyProtection="1">
      <alignment horizontal="center"/>
      <protection locked="0"/>
    </xf>
    <xf numFmtId="0" fontId="7" fillId="2" borderId="4" xfId="1" applyFont="1" applyFill="1" applyBorder="1" applyAlignment="1" applyProtection="1">
      <alignment horizontal="center"/>
      <protection locked="0"/>
    </xf>
    <xf numFmtId="0" fontId="8" fillId="2" borderId="5" xfId="1" applyFont="1" applyFill="1" applyBorder="1" applyAlignment="1" applyProtection="1">
      <alignment horizontal="center"/>
      <protection locked="0"/>
    </xf>
    <xf numFmtId="0" fontId="7" fillId="2" borderId="5" xfId="1" applyFont="1" applyFill="1" applyBorder="1" applyAlignment="1" applyProtection="1">
      <alignment horizontal="center" vertical="center"/>
      <protection locked="0"/>
    </xf>
    <xf numFmtId="164" fontId="7" fillId="2" borderId="4" xfId="2" applyFont="1" applyFill="1" applyBorder="1" applyAlignment="1" applyProtection="1">
      <alignment horizontal="center"/>
      <protection locked="0"/>
    </xf>
    <xf numFmtId="164" fontId="7" fillId="2" borderId="5" xfId="2" applyFont="1" applyFill="1" applyBorder="1" applyAlignment="1" applyProtection="1">
      <alignment horizontal="center"/>
      <protection locked="0"/>
    </xf>
    <xf numFmtId="0" fontId="3" fillId="0" borderId="3" xfId="0" applyFont="1" applyBorder="1" applyProtection="1">
      <protection locked="0"/>
    </xf>
    <xf numFmtId="0" fontId="9" fillId="0" borderId="1" xfId="3" applyFont="1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6" fontId="3" fillId="0" borderId="3" xfId="4" applyNumberFormat="1" applyFont="1" applyBorder="1" applyProtection="1">
      <protection locked="0"/>
    </xf>
    <xf numFmtId="0" fontId="9" fillId="0" borderId="3" xfId="3" applyFont="1" applyBorder="1" applyProtection="1"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43" fontId="7" fillId="0" borderId="3" xfId="6" applyNumberFormat="1" applyFont="1" applyFill="1" applyBorder="1" applyAlignment="1" applyProtection="1">
      <protection locked="0"/>
    </xf>
    <xf numFmtId="0" fontId="7" fillId="0" borderId="0" xfId="3" applyFont="1" applyAlignment="1" applyProtection="1">
      <alignment horizontal="center"/>
      <protection locked="0"/>
    </xf>
    <xf numFmtId="16" fontId="7" fillId="0" borderId="3" xfId="5" applyNumberFormat="1" applyFont="1" applyBorder="1" applyAlignment="1" applyProtection="1">
      <alignment horizontal="center"/>
      <protection locked="0"/>
    </xf>
    <xf numFmtId="0" fontId="7" fillId="0" borderId="7" xfId="5" applyFont="1" applyBorder="1" applyAlignment="1">
      <alignment horizontal="center" vertical="center"/>
    </xf>
    <xf numFmtId="43" fontId="7" fillId="0" borderId="0" xfId="7" applyNumberFormat="1" applyFont="1" applyFill="1" applyBorder="1" applyAlignment="1" applyProtection="1">
      <protection locked="0"/>
    </xf>
    <xf numFmtId="0" fontId="7" fillId="0" borderId="3" xfId="8" applyNumberFormat="1" applyFont="1" applyBorder="1"/>
    <xf numFmtId="16" fontId="7" fillId="0" borderId="3" xfId="3" applyNumberFormat="1" applyFont="1" applyBorder="1" applyAlignment="1" applyProtection="1">
      <alignment horizontal="center"/>
      <protection locked="0"/>
    </xf>
    <xf numFmtId="0" fontId="11" fillId="0" borderId="3" xfId="3" applyFont="1" applyBorder="1"/>
    <xf numFmtId="0" fontId="5" fillId="0" borderId="3" xfId="8" applyNumberFormat="1" applyFont="1" applyBorder="1"/>
    <xf numFmtId="0" fontId="12" fillId="0" borderId="3" xfId="3" applyFont="1" applyBorder="1" applyAlignment="1">
      <alignment horizontal="left"/>
    </xf>
    <xf numFmtId="0" fontId="5" fillId="0" borderId="3" xfId="1" applyFont="1" applyBorder="1"/>
    <xf numFmtId="43" fontId="7" fillId="0" borderId="7" xfId="7" applyNumberFormat="1" applyFont="1" applyFill="1" applyBorder="1" applyAlignment="1" applyProtection="1">
      <protection locked="0"/>
    </xf>
    <xf numFmtId="43" fontId="7" fillId="0" borderId="3" xfId="6" applyNumberFormat="1" applyFont="1" applyFill="1" applyBorder="1" applyAlignment="1" applyProtection="1"/>
    <xf numFmtId="164" fontId="7" fillId="0" borderId="3" xfId="0" applyNumberFormat="1" applyFont="1" applyBorder="1" applyProtection="1">
      <protection locked="0"/>
    </xf>
    <xf numFmtId="16" fontId="5" fillId="0" borderId="3" xfId="5" applyNumberFormat="1" applyFont="1" applyBorder="1" applyAlignment="1" applyProtection="1">
      <alignment horizontal="center"/>
      <protection locked="0"/>
    </xf>
    <xf numFmtId="43" fontId="7" fillId="0" borderId="0" xfId="7" applyNumberFormat="1" applyFont="1" applyFill="1" applyBorder="1" applyAlignment="1" applyProtection="1"/>
    <xf numFmtId="0" fontId="7" fillId="0" borderId="3" xfId="1" applyFont="1" applyBorder="1"/>
    <xf numFmtId="0" fontId="7" fillId="0" borderId="3" xfId="8" applyNumberFormat="1" applyFont="1" applyBorder="1" applyProtection="1">
      <protection locked="0"/>
    </xf>
    <xf numFmtId="0" fontId="12" fillId="0" borderId="3" xfId="3" applyFont="1" applyBorder="1"/>
    <xf numFmtId="43" fontId="7" fillId="0" borderId="7" xfId="7" applyNumberFormat="1" applyFont="1" applyFill="1" applyBorder="1" applyAlignment="1" applyProtection="1"/>
    <xf numFmtId="0" fontId="7" fillId="0" borderId="0" xfId="1" applyFont="1" applyAlignment="1" applyProtection="1">
      <alignment horizontal="center"/>
      <protection locked="0"/>
    </xf>
    <xf numFmtId="43" fontId="5" fillId="0" borderId="3" xfId="6" applyNumberFormat="1" applyFont="1" applyFill="1" applyBorder="1" applyAlignment="1" applyProtection="1"/>
    <xf numFmtId="0" fontId="7" fillId="0" borderId="7" xfId="1" applyFont="1" applyBorder="1" applyAlignment="1">
      <alignment horizontal="center" vertical="center"/>
    </xf>
    <xf numFmtId="0" fontId="5" fillId="0" borderId="7" xfId="1" applyFont="1" applyBorder="1" applyAlignment="1" applyProtection="1">
      <alignment horizontal="center" vertical="center"/>
      <protection locked="0"/>
    </xf>
    <xf numFmtId="0" fontId="3" fillId="0" borderId="3" xfId="0" applyFont="1" applyBorder="1"/>
    <xf numFmtId="0" fontId="7" fillId="0" borderId="4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4" fontId="5" fillId="0" borderId="9" xfId="7" applyFont="1" applyFill="1" applyBorder="1" applyAlignment="1" applyProtection="1">
      <protection locked="0"/>
    </xf>
    <xf numFmtId="164" fontId="7" fillId="0" borderId="10" xfId="1" applyNumberFormat="1" applyFont="1" applyBorder="1" applyProtection="1">
      <protection locked="0"/>
    </xf>
    <xf numFmtId="164" fontId="3" fillId="0" borderId="11" xfId="7" applyFont="1" applyFill="1" applyBorder="1" applyAlignment="1" applyProtection="1">
      <protection locked="0"/>
    </xf>
    <xf numFmtId="164" fontId="3" fillId="0" borderId="12" xfId="7" applyFont="1" applyFill="1" applyBorder="1" applyAlignment="1" applyProtection="1">
      <protection locked="0"/>
    </xf>
    <xf numFmtId="164" fontId="3" fillId="0" borderId="13" xfId="7" applyFont="1" applyFill="1" applyBorder="1" applyAlignment="1" applyProtection="1">
      <protection locked="0"/>
    </xf>
    <xf numFmtId="164" fontId="3" fillId="0" borderId="14" xfId="7" applyFont="1" applyFill="1" applyBorder="1" applyAlignment="1" applyProtection="1">
      <protection locked="0"/>
    </xf>
    <xf numFmtId="164" fontId="3" fillId="0" borderId="16" xfId="7" applyFont="1" applyFill="1" applyBorder="1" applyAlignment="1" applyProtection="1">
      <protection locked="0"/>
    </xf>
    <xf numFmtId="0" fontId="13" fillId="0" borderId="0" xfId="3" applyFont="1" applyProtection="1">
      <protection locked="0"/>
    </xf>
    <xf numFmtId="0" fontId="6" fillId="0" borderId="0" xfId="1" applyFont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164" fontId="6" fillId="0" borderId="0" xfId="1" applyNumberFormat="1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7" applyFont="1" applyFill="1" applyBorder="1" applyAlignment="1" applyProtection="1">
      <protection locked="0"/>
    </xf>
    <xf numFmtId="0" fontId="14" fillId="0" borderId="0" xfId="1" applyFont="1" applyAlignment="1" applyProtection="1">
      <alignment horizontal="center" wrapText="1"/>
      <protection locked="0"/>
    </xf>
    <xf numFmtId="0" fontId="14" fillId="0" borderId="0" xfId="1" applyFont="1" applyAlignment="1" applyProtection="1">
      <alignment wrapText="1"/>
      <protection locked="0"/>
    </xf>
    <xf numFmtId="0" fontId="15" fillId="0" borderId="0" xfId="0" applyFont="1" applyAlignment="1" applyProtection="1">
      <alignment horizontal="center"/>
      <protection locked="0"/>
    </xf>
    <xf numFmtId="164" fontId="14" fillId="0" borderId="0" xfId="1" applyNumberFormat="1" applyFont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0" fontId="7" fillId="0" borderId="0" xfId="1" applyFont="1" applyProtection="1">
      <protection locked="0"/>
    </xf>
    <xf numFmtId="164" fontId="7" fillId="0" borderId="0" xfId="1" applyNumberFormat="1" applyFont="1" applyAlignment="1" applyProtection="1">
      <alignment horizontal="center" vertical="center"/>
      <protection locked="0"/>
    </xf>
    <xf numFmtId="43" fontId="3" fillId="0" borderId="15" xfId="7" applyNumberFormat="1" applyFont="1" applyFill="1" applyBorder="1" applyAlignment="1" applyProtection="1">
      <protection locked="0"/>
    </xf>
    <xf numFmtId="43" fontId="3" fillId="0" borderId="17" xfId="7" applyNumberFormat="1" applyFont="1" applyFill="1" applyBorder="1" applyAlignment="1" applyProtection="1">
      <protection locked="0"/>
    </xf>
  </cellXfs>
  <cellStyles count="10">
    <cellStyle name="Comma [0] 2" xfId="4" xr:uid="{FC474653-68AE-4995-BB51-6D6CDAB4BA4E}"/>
    <cellStyle name="Comma 2" xfId="7" xr:uid="{9A556BC8-72F3-4078-8B6F-917E8965C888}"/>
    <cellStyle name="Comma 4" xfId="2" xr:uid="{55A8A4A7-94B5-4C5B-820D-D3D2A7B9168B}"/>
    <cellStyle name="Comma 5" xfId="6" xr:uid="{4B8C2EF9-E312-47AD-8DC4-7914AD39CCD3}"/>
    <cellStyle name="Currency 3" xfId="9" xr:uid="{D781D6BD-048E-426D-871E-ED2E0302E856}"/>
    <cellStyle name="Normal" xfId="0" builtinId="0"/>
    <cellStyle name="Normal 12" xfId="1" xr:uid="{67AAB2F0-5CB5-4EE5-992B-16EECB4AF80A}"/>
    <cellStyle name="Normal 2" xfId="5" xr:uid="{660C277F-A926-44BE-B324-16FD9248CB5F}"/>
    <cellStyle name="Normal_KAS.Mar'04" xfId="3" xr:uid="{8CBE775D-D368-4E38-B3C7-FDCC4A0B191C}"/>
    <cellStyle name="TableStyleLight1" xfId="8" xr:uid="{F2DF326D-F262-4217-A06F-426B2C4D62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poran%20KK%202026%20Yes.xlsx" TargetMode="External"/><Relationship Id="rId2" Type="http://schemas.openxmlformats.org/officeDocument/2006/relationships/externalLinkPath" Target="file:///D:\Finance\2026\Laporan%20KK%202026%20Yes.xlsx" TargetMode="External"/><Relationship Id="rId1" Type="http://schemas.openxmlformats.org/officeDocument/2006/relationships/externalLinkPath" Target="/Finance/2026/Laporan%20KK%202026%20Y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i"/>
      <sheetName val="Februari"/>
      <sheetName val="Maret"/>
      <sheetName val="April"/>
      <sheetName val="Mei"/>
      <sheetName val="Juni"/>
      <sheetName val="Juli"/>
      <sheetName val="Agustus"/>
    </sheetNames>
    <sheetDataSet>
      <sheetData sheetId="0"/>
      <sheetData sheetId="1"/>
      <sheetData sheetId="2"/>
      <sheetData sheetId="3"/>
      <sheetData sheetId="4"/>
      <sheetData sheetId="5">
        <row r="1997">
          <cell r="G1997">
            <v>-3909622.3419998884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D114-7517-4E63-8C91-3CE51C2C47BC}">
  <dimension ref="A1:H51"/>
  <sheetViews>
    <sheetView tabSelected="1" topLeftCell="A10" zoomScale="70" zoomScaleNormal="70" workbookViewId="0">
      <selection activeCell="G38" sqref="G38"/>
    </sheetView>
  </sheetViews>
  <sheetFormatPr defaultRowHeight="14.5" x14ac:dyDescent="0.35"/>
  <cols>
    <col min="1" max="1" width="17.6328125" bestFit="1" customWidth="1"/>
    <col min="2" max="2" width="9.6328125" bestFit="1" customWidth="1"/>
    <col min="3" max="3" width="120.26953125" bestFit="1" customWidth="1"/>
    <col min="4" max="4" width="5.81640625" bestFit="1" customWidth="1"/>
    <col min="5" max="5" width="16.7265625" bestFit="1" customWidth="1"/>
    <col min="6" max="6" width="16.26953125" bestFit="1" customWidth="1"/>
    <col min="7" max="7" width="17.54296875" bestFit="1" customWidth="1"/>
  </cols>
  <sheetData>
    <row r="1" spans="1:8" ht="15.5" x14ac:dyDescent="0.35">
      <c r="A1" s="1" t="s">
        <v>0</v>
      </c>
      <c r="B1" s="1"/>
      <c r="C1" s="1"/>
      <c r="D1" s="1"/>
      <c r="E1" s="1"/>
      <c r="F1" s="1"/>
      <c r="G1" s="1"/>
    </row>
    <row r="2" spans="1:8" ht="15.5" x14ac:dyDescent="0.35">
      <c r="A2" s="1" t="s">
        <v>1</v>
      </c>
      <c r="B2" s="1"/>
      <c r="C2" s="1"/>
      <c r="D2" s="1"/>
      <c r="E2" s="1"/>
      <c r="F2" s="1"/>
      <c r="G2" s="1"/>
    </row>
    <row r="3" spans="1:8" ht="15.5" x14ac:dyDescent="0.35">
      <c r="A3" s="2" t="s">
        <v>2</v>
      </c>
      <c r="B3" s="1"/>
      <c r="C3" s="1"/>
      <c r="D3" s="1"/>
      <c r="E3" s="1"/>
      <c r="F3" s="1"/>
      <c r="G3" s="1"/>
    </row>
    <row r="4" spans="1:8" ht="16" thickBot="1" x14ac:dyDescent="0.4">
      <c r="A4" s="3"/>
      <c r="B4" s="3"/>
      <c r="C4" s="3"/>
      <c r="D4" s="3"/>
      <c r="E4" s="3"/>
      <c r="F4" s="3"/>
      <c r="G4" s="3"/>
    </row>
    <row r="5" spans="1:8" ht="15.5" x14ac:dyDescent="0.35">
      <c r="A5" s="4" t="s">
        <v>3</v>
      </c>
      <c r="B5" s="4" t="s">
        <v>3</v>
      </c>
      <c r="C5" s="4" t="s">
        <v>3</v>
      </c>
      <c r="D5" s="5" t="s">
        <v>4</v>
      </c>
      <c r="E5" s="6" t="s">
        <v>5</v>
      </c>
      <c r="F5" s="7" t="s">
        <v>6</v>
      </c>
      <c r="G5" s="6" t="s">
        <v>7</v>
      </c>
    </row>
    <row r="6" spans="1:8" ht="15.5" x14ac:dyDescent="0.35">
      <c r="A6" s="8"/>
      <c r="B6" s="9" t="s">
        <v>8</v>
      </c>
      <c r="C6" s="10"/>
      <c r="D6" s="11"/>
      <c r="E6" s="12" t="s">
        <v>9</v>
      </c>
      <c r="F6" s="13" t="s">
        <v>9</v>
      </c>
      <c r="G6" s="12" t="s">
        <v>9</v>
      </c>
    </row>
    <row r="7" spans="1:8" ht="16" thickBot="1" x14ac:dyDescent="0.4">
      <c r="A7" s="14"/>
      <c r="B7" s="15"/>
      <c r="C7" s="14"/>
      <c r="D7" s="16"/>
      <c r="E7" s="17"/>
      <c r="F7" s="18"/>
      <c r="G7" s="17"/>
    </row>
    <row r="8" spans="1:8" ht="15.5" x14ac:dyDescent="0.35">
      <c r="A8" s="19"/>
      <c r="B8" s="3"/>
      <c r="C8" s="20" t="s">
        <v>10</v>
      </c>
      <c r="D8" s="21"/>
      <c r="E8" s="22"/>
      <c r="F8" s="3"/>
      <c r="G8" s="23">
        <f>[1]Juni!G1997</f>
        <v>-3909622.3419998884</v>
      </c>
    </row>
    <row r="9" spans="1:8" ht="15.5" x14ac:dyDescent="0.35">
      <c r="A9" s="19"/>
      <c r="B9" s="3"/>
      <c r="C9" s="24"/>
      <c r="D9" s="25"/>
      <c r="E9" s="19"/>
      <c r="F9" s="3"/>
      <c r="G9" s="23"/>
    </row>
    <row r="10" spans="1:8" ht="15.5" x14ac:dyDescent="0.35">
      <c r="A10" s="32"/>
      <c r="B10" s="46"/>
      <c r="C10" s="43"/>
      <c r="D10" s="49"/>
      <c r="E10" s="38"/>
      <c r="F10" s="41"/>
      <c r="G10" s="39"/>
    </row>
    <row r="11" spans="1:8" ht="15.5" x14ac:dyDescent="0.35">
      <c r="A11" s="28">
        <v>46206</v>
      </c>
      <c r="B11" s="3" t="s">
        <v>15</v>
      </c>
      <c r="C11" s="33" t="s">
        <v>12</v>
      </c>
      <c r="D11" s="29" t="s">
        <v>13</v>
      </c>
      <c r="E11" s="38">
        <f>75000+10000+65306-6+140000+4000</f>
        <v>294300</v>
      </c>
      <c r="F11" s="41"/>
      <c r="G11" s="39"/>
      <c r="H11" t="s">
        <v>14</v>
      </c>
    </row>
    <row r="12" spans="1:8" ht="15.5" x14ac:dyDescent="0.35">
      <c r="A12" s="28"/>
      <c r="B12" s="27"/>
      <c r="C12" s="34" t="s">
        <v>11</v>
      </c>
      <c r="D12" s="29"/>
      <c r="E12" s="38"/>
      <c r="F12" s="41">
        <f>E11</f>
        <v>294300</v>
      </c>
      <c r="G12" s="39">
        <f>G8-F12</f>
        <v>-4203922.3419998884</v>
      </c>
    </row>
    <row r="13" spans="1:8" ht="15.5" x14ac:dyDescent="0.35">
      <c r="A13" s="40"/>
      <c r="B13" s="27"/>
      <c r="C13" s="42" t="s">
        <v>16</v>
      </c>
      <c r="D13" s="48"/>
      <c r="E13" s="47"/>
      <c r="F13" s="45"/>
      <c r="G13" s="39"/>
    </row>
    <row r="14" spans="1:8" ht="15.5" x14ac:dyDescent="0.35">
      <c r="A14" s="32"/>
      <c r="B14" s="46"/>
      <c r="C14" s="42" t="s">
        <v>17</v>
      </c>
      <c r="D14" s="29"/>
      <c r="E14" s="38"/>
      <c r="F14" s="45"/>
      <c r="G14" s="39"/>
    </row>
    <row r="15" spans="1:8" ht="15.5" x14ac:dyDescent="0.35">
      <c r="A15" s="32"/>
      <c r="B15" s="46"/>
      <c r="C15" s="35" t="s">
        <v>18</v>
      </c>
      <c r="D15" s="29"/>
      <c r="E15" s="26"/>
      <c r="F15" s="37"/>
      <c r="G15" s="39"/>
    </row>
    <row r="16" spans="1:8" ht="15.5" x14ac:dyDescent="0.35">
      <c r="A16" s="32"/>
      <c r="B16" s="46"/>
      <c r="C16" s="43" t="s">
        <v>19</v>
      </c>
      <c r="D16" s="49"/>
      <c r="E16" s="38"/>
      <c r="F16" s="41"/>
      <c r="G16" s="39"/>
    </row>
    <row r="17" spans="1:8" ht="15.5" x14ac:dyDescent="0.35">
      <c r="A17" s="32"/>
      <c r="B17" s="46"/>
      <c r="C17" s="44" t="s">
        <v>20</v>
      </c>
      <c r="D17" s="29"/>
      <c r="E17" s="38"/>
      <c r="F17" s="41"/>
      <c r="G17" s="39"/>
    </row>
    <row r="18" spans="1:8" ht="15.5" x14ac:dyDescent="0.35">
      <c r="A18" s="32"/>
      <c r="B18" s="46"/>
      <c r="C18" s="31" t="s">
        <v>21</v>
      </c>
      <c r="D18" s="29"/>
      <c r="E18" s="38"/>
      <c r="F18" s="41"/>
      <c r="G18" s="39"/>
    </row>
    <row r="19" spans="1:8" ht="15.5" x14ac:dyDescent="0.35">
      <c r="A19" s="32"/>
      <c r="B19" s="46"/>
      <c r="C19" s="31" t="s">
        <v>22</v>
      </c>
      <c r="D19" s="29"/>
      <c r="E19" s="38"/>
      <c r="F19" s="41"/>
      <c r="G19" s="39"/>
    </row>
    <row r="20" spans="1:8" ht="15.5" x14ac:dyDescent="0.35">
      <c r="A20" s="32"/>
      <c r="B20" s="46"/>
      <c r="C20" s="43" t="s">
        <v>23</v>
      </c>
      <c r="D20" s="49"/>
      <c r="E20" s="38"/>
      <c r="F20" s="41"/>
      <c r="G20" s="39"/>
    </row>
    <row r="21" spans="1:8" ht="15.5" x14ac:dyDescent="0.35">
      <c r="A21" s="32"/>
      <c r="B21" s="46"/>
      <c r="C21" s="44" t="s">
        <v>24</v>
      </c>
      <c r="D21" s="29"/>
      <c r="E21" s="38"/>
      <c r="F21" s="41"/>
      <c r="G21" s="39"/>
    </row>
    <row r="22" spans="1:8" ht="15.5" x14ac:dyDescent="0.35">
      <c r="A22" s="32"/>
      <c r="B22" s="46"/>
      <c r="C22" s="31" t="s">
        <v>25</v>
      </c>
      <c r="D22" s="29"/>
      <c r="E22" s="38"/>
      <c r="F22" s="41"/>
      <c r="G22" s="39"/>
    </row>
    <row r="23" spans="1:8" ht="15.5" x14ac:dyDescent="0.35">
      <c r="A23" s="32"/>
      <c r="B23" s="46"/>
      <c r="C23" s="43" t="s">
        <v>26</v>
      </c>
      <c r="D23" s="49"/>
      <c r="E23" s="38"/>
      <c r="F23" s="41"/>
      <c r="G23" s="39"/>
    </row>
    <row r="24" spans="1:8" ht="15.5" x14ac:dyDescent="0.35">
      <c r="A24" s="32"/>
      <c r="B24" s="46"/>
      <c r="C24" s="43" t="s">
        <v>23</v>
      </c>
      <c r="D24" s="49"/>
      <c r="E24" s="38"/>
      <c r="F24" s="41"/>
      <c r="G24" s="39"/>
    </row>
    <row r="25" spans="1:8" ht="15.5" x14ac:dyDescent="0.35">
      <c r="A25" s="32"/>
      <c r="B25" s="46"/>
      <c r="C25" s="43" t="s">
        <v>23</v>
      </c>
      <c r="D25" s="49"/>
      <c r="E25" s="38"/>
      <c r="F25" s="41"/>
      <c r="G25" s="39"/>
    </row>
    <row r="26" spans="1:8" ht="15.5" x14ac:dyDescent="0.35">
      <c r="A26" s="32"/>
      <c r="B26" s="46"/>
      <c r="C26" s="43"/>
      <c r="D26" s="49"/>
      <c r="E26" s="38"/>
      <c r="F26" s="41"/>
      <c r="G26" s="39"/>
    </row>
    <row r="27" spans="1:8" ht="15.5" x14ac:dyDescent="0.35">
      <c r="A27" s="28">
        <v>46206</v>
      </c>
      <c r="B27" s="3" t="s">
        <v>27</v>
      </c>
      <c r="C27" s="33" t="s">
        <v>12</v>
      </c>
      <c r="D27" s="29" t="s">
        <v>13</v>
      </c>
      <c r="E27" s="38">
        <f>110000</f>
        <v>110000</v>
      </c>
      <c r="F27" s="41"/>
      <c r="G27" s="39"/>
      <c r="H27" t="s">
        <v>14</v>
      </c>
    </row>
    <row r="28" spans="1:8" ht="15.5" x14ac:dyDescent="0.35">
      <c r="A28" s="28"/>
      <c r="B28" s="27"/>
      <c r="C28" s="34" t="s">
        <v>11</v>
      </c>
      <c r="D28" s="29"/>
      <c r="E28" s="38"/>
      <c r="F28" s="41">
        <f>E27</f>
        <v>110000</v>
      </c>
      <c r="G28" s="39">
        <f>G12-F28</f>
        <v>-4313922.3419998884</v>
      </c>
    </row>
    <row r="29" spans="1:8" ht="15.5" x14ac:dyDescent="0.35">
      <c r="A29" s="40"/>
      <c r="B29" s="27"/>
      <c r="C29" s="42" t="s">
        <v>28</v>
      </c>
      <c r="D29" s="48"/>
      <c r="E29" s="47"/>
      <c r="F29" s="45"/>
      <c r="G29" s="39"/>
    </row>
    <row r="30" spans="1:8" ht="15.5" x14ac:dyDescent="0.35">
      <c r="A30" s="32"/>
      <c r="B30" s="46"/>
      <c r="C30" s="50" t="s">
        <v>29</v>
      </c>
      <c r="D30" s="49"/>
      <c r="E30" s="38"/>
      <c r="F30" s="41"/>
      <c r="G30" s="39"/>
    </row>
    <row r="31" spans="1:8" ht="15.5" x14ac:dyDescent="0.35">
      <c r="A31" s="32"/>
      <c r="B31" s="46"/>
      <c r="C31" s="34"/>
      <c r="D31" s="29"/>
      <c r="E31" s="26"/>
      <c r="F31" s="30"/>
      <c r="G31" s="39"/>
    </row>
    <row r="32" spans="1:8" ht="15.5" x14ac:dyDescent="0.35">
      <c r="A32" s="32"/>
      <c r="B32" s="46"/>
      <c r="C32" s="36"/>
      <c r="D32" s="29"/>
      <c r="E32" s="26"/>
      <c r="F32" s="30"/>
      <c r="G32" s="39"/>
    </row>
    <row r="33" spans="1:7" ht="15.5" x14ac:dyDescent="0.35">
      <c r="A33" s="32"/>
      <c r="B33" s="46"/>
      <c r="C33" s="44"/>
      <c r="D33" s="29"/>
      <c r="E33" s="26"/>
      <c r="F33" s="30"/>
      <c r="G33" s="39"/>
    </row>
    <row r="34" spans="1:7" ht="15.5" x14ac:dyDescent="0.35">
      <c r="A34" s="32"/>
      <c r="B34" s="46"/>
      <c r="C34" s="44"/>
      <c r="D34" s="29"/>
      <c r="E34" s="26"/>
      <c r="F34" s="30"/>
      <c r="G34" s="39"/>
    </row>
    <row r="35" spans="1:7" ht="16" thickBot="1" x14ac:dyDescent="0.4">
      <c r="A35" s="51"/>
      <c r="B35" s="52"/>
      <c r="C35" s="51"/>
      <c r="D35" s="53"/>
      <c r="E35" s="51"/>
      <c r="F35" s="52"/>
      <c r="G35" s="51"/>
    </row>
    <row r="36" spans="1:7" ht="16" thickBot="1" x14ac:dyDescent="0.4">
      <c r="A36" s="3"/>
      <c r="B36" s="3"/>
      <c r="C36" s="3"/>
      <c r="D36" s="54"/>
      <c r="E36" s="3"/>
      <c r="F36" s="55"/>
      <c r="G36" s="56"/>
    </row>
    <row r="37" spans="1:7" ht="15.5" x14ac:dyDescent="0.35">
      <c r="A37" s="3"/>
      <c r="B37" s="3"/>
      <c r="C37" s="3"/>
      <c r="D37" s="54"/>
      <c r="E37" s="3"/>
      <c r="F37" s="57" t="s">
        <v>30</v>
      </c>
      <c r="G37" s="58">
        <f>G8</f>
        <v>-3909622.3419998884</v>
      </c>
    </row>
    <row r="38" spans="1:7" ht="15.5" x14ac:dyDescent="0.35">
      <c r="A38" s="3"/>
      <c r="B38" s="3"/>
      <c r="C38" s="3"/>
      <c r="D38" s="54"/>
      <c r="E38" s="3"/>
      <c r="F38" s="59" t="s">
        <v>31</v>
      </c>
      <c r="G38" s="60"/>
    </row>
    <row r="39" spans="1:7" ht="15.5" x14ac:dyDescent="0.35">
      <c r="A39" s="3"/>
      <c r="B39" s="3"/>
      <c r="C39" s="3"/>
      <c r="D39" s="54"/>
      <c r="E39" s="3"/>
      <c r="F39" s="59" t="s">
        <v>32</v>
      </c>
      <c r="G39" s="76">
        <f>SUM(F8:F35)</f>
        <v>404300</v>
      </c>
    </row>
    <row r="40" spans="1:7" ht="16" thickBot="1" x14ac:dyDescent="0.4">
      <c r="A40" s="3"/>
      <c r="B40" s="3"/>
      <c r="C40" s="3"/>
      <c r="D40" s="54"/>
      <c r="E40" s="3"/>
      <c r="F40" s="61" t="s">
        <v>33</v>
      </c>
      <c r="G40" s="77">
        <f>G37+G38-G39</f>
        <v>-4313922.3419998884</v>
      </c>
    </row>
    <row r="41" spans="1:7" ht="15.5" x14ac:dyDescent="0.35">
      <c r="A41" s="62"/>
      <c r="B41" s="63"/>
      <c r="C41" s="64"/>
      <c r="D41" s="65"/>
      <c r="E41" s="66"/>
      <c r="F41" s="3"/>
      <c r="G41" s="3"/>
    </row>
    <row r="42" spans="1:7" ht="15.5" x14ac:dyDescent="0.35">
      <c r="A42" s="62"/>
      <c r="B42" s="63"/>
      <c r="C42" s="64"/>
      <c r="D42" s="65"/>
      <c r="E42" s="66"/>
      <c r="F42" s="3"/>
      <c r="G42" s="3"/>
    </row>
    <row r="43" spans="1:7" ht="15.5" x14ac:dyDescent="0.35">
      <c r="A43" s="62"/>
      <c r="B43" s="63"/>
      <c r="C43" s="64"/>
      <c r="D43" s="65"/>
      <c r="E43" s="66"/>
      <c r="F43" s="3"/>
      <c r="G43" s="3"/>
    </row>
    <row r="44" spans="1:7" ht="15.5" x14ac:dyDescent="0.35">
      <c r="A44" s="67" t="s">
        <v>34</v>
      </c>
      <c r="B44" s="3"/>
      <c r="C44" s="67" t="s">
        <v>35</v>
      </c>
      <c r="D44" s="54"/>
      <c r="E44" s="67" t="s">
        <v>36</v>
      </c>
      <c r="F44" s="68"/>
      <c r="G44" s="68"/>
    </row>
    <row r="45" spans="1:7" ht="15.5" x14ac:dyDescent="0.35">
      <c r="A45" s="3"/>
      <c r="B45" s="3"/>
      <c r="C45" s="3"/>
      <c r="D45" s="54"/>
      <c r="E45" s="3"/>
      <c r="F45" s="68"/>
      <c r="G45" s="68"/>
    </row>
    <row r="46" spans="1:7" ht="15.5" x14ac:dyDescent="0.35">
      <c r="A46" s="3"/>
      <c r="B46" s="3"/>
      <c r="C46" s="3"/>
      <c r="D46" s="54"/>
      <c r="E46" s="3"/>
      <c r="F46" s="68"/>
      <c r="G46" s="68"/>
    </row>
    <row r="47" spans="1:7" ht="15.5" x14ac:dyDescent="0.35">
      <c r="A47" s="3"/>
      <c r="B47" s="3"/>
      <c r="C47" s="3"/>
      <c r="D47" s="54"/>
      <c r="E47" s="3"/>
      <c r="F47" s="68"/>
      <c r="G47" s="68"/>
    </row>
    <row r="48" spans="1:7" ht="15.5" x14ac:dyDescent="0.35">
      <c r="A48" s="62"/>
      <c r="B48" s="63"/>
      <c r="C48" s="64"/>
      <c r="D48" s="65"/>
      <c r="E48" s="66"/>
      <c r="F48" s="3"/>
      <c r="G48" s="3"/>
    </row>
    <row r="49" spans="1:7" ht="15.5" x14ac:dyDescent="0.35">
      <c r="A49" s="62"/>
      <c r="B49" s="63"/>
      <c r="C49" s="64"/>
      <c r="D49" s="65"/>
      <c r="E49" s="66"/>
      <c r="F49" s="3"/>
      <c r="G49" s="3"/>
    </row>
    <row r="50" spans="1:7" ht="31" x14ac:dyDescent="0.35">
      <c r="A50" s="69" t="s">
        <v>37</v>
      </c>
      <c r="B50" s="70"/>
      <c r="C50" s="71" t="s">
        <v>38</v>
      </c>
      <c r="D50" s="72"/>
      <c r="E50" s="71" t="s">
        <v>39</v>
      </c>
      <c r="F50" s="73"/>
      <c r="G50" s="3"/>
    </row>
    <row r="51" spans="1:7" ht="15.5" x14ac:dyDescent="0.35">
      <c r="A51" s="46" t="s">
        <v>40</v>
      </c>
      <c r="B51" s="74"/>
      <c r="C51" s="67" t="s">
        <v>41</v>
      </c>
      <c r="D51" s="75"/>
      <c r="E51" s="67" t="s">
        <v>42</v>
      </c>
      <c r="F51" s="67"/>
      <c r="G51" s="3"/>
    </row>
  </sheetData>
  <mergeCells count="3">
    <mergeCell ref="A1:G1"/>
    <mergeCell ref="A2:G2"/>
    <mergeCell ref="A3:G3"/>
  </mergeCells>
  <conditionalFormatting sqref="C15">
    <cfRule type="dataBar" priority="2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{043EB6F4-FA20-46E2-8A06-9C0B7AF2FAEE}</x14:id>
        </ext>
      </extLst>
    </cfRule>
  </conditionalFormatting>
  <conditionalFormatting sqref="C17">
    <cfRule type="dataBar" priority="2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{046B0A59-F4B1-4D85-97E0-75973FF1A7BD}</x14:id>
        </ext>
      </extLst>
    </cfRule>
    <cfRule type="dataBar" priority="2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{11CD3AD0-BC6A-42FD-B4D5-2C89C2273EF5}</x14:id>
        </ext>
      </extLst>
    </cfRule>
    <cfRule type="dataBar" priority="2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{A9AE8E01-94C3-4C96-8D2E-5725080DA9F9}</x14:id>
        </ext>
      </extLst>
    </cfRule>
    <cfRule type="dataBar" priority="2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{7A738BDE-C845-462F-945A-0F6586E8DF83}</x14:id>
        </ext>
      </extLst>
    </cfRule>
    <cfRule type="dataBar" priority="2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{0C0D7592-1478-4719-8D37-6AB22DA3A8C7}</x14:id>
        </ext>
      </extLst>
    </cfRule>
    <cfRule type="dataBar" priority="2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{02FC874F-CD1E-45A6-A743-B5D3D8CC1E0D}</x14:id>
        </ext>
      </extLst>
    </cfRule>
    <cfRule type="dataBar" priority="2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{B5C16990-9B18-4ED6-841A-4F041697A19E}</x14:id>
        </ext>
      </extLst>
    </cfRule>
    <cfRule type="dataBar" priority="2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{0DA2AF06-FEA9-487B-89C4-BA78FEFAC940}</x14:id>
        </ext>
      </extLst>
    </cfRule>
    <cfRule type="dataBar" priority="2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{928A1818-39A5-4068-B329-7332A7ABD4D7}</x14:id>
        </ext>
      </extLst>
    </cfRule>
    <cfRule type="dataBar" priority="2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{68667DF3-BEF4-4EC1-A638-DBF5A20F174A}</x14:id>
        </ext>
      </extLst>
    </cfRule>
    <cfRule type="dataBar" priority="2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{F85AE750-6A33-4FEF-B664-7C4725D6129F}</x14:id>
        </ext>
      </extLst>
    </cfRule>
    <cfRule type="dataBar" priority="2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{3297547F-421A-43A0-AAFB-9A2F089121DB}</x14:id>
        </ext>
      </extLst>
    </cfRule>
    <cfRule type="dataBar" priority="2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{6567E875-E053-43A0-860F-FD0D0458A53F}</x14:id>
        </ext>
      </extLst>
    </cfRule>
    <cfRule type="dataBar" priority="2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{3DC6838E-27B5-442C-BD5B-05C12025F3CC}</x14:id>
        </ext>
      </extLst>
    </cfRule>
    <cfRule type="dataBar" priority="2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{AB7985E2-FDD3-43B6-BB6B-DB1DDD6A7000}</x14:id>
        </ext>
      </extLst>
    </cfRule>
    <cfRule type="dataBar" priority="2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{76894E8B-0829-4E61-9109-E0AC403B61F4}</x14:id>
        </ext>
      </extLst>
    </cfRule>
    <cfRule type="dataBar" priority="2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{2A193D13-EA84-4069-81E5-BEBD1C0F392D}</x14:id>
        </ext>
      </extLst>
    </cfRule>
    <cfRule type="dataBar" priority="2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{B2920C9B-244D-4FC3-B58B-EF45B52E022F}</x14:id>
        </ext>
      </extLst>
    </cfRule>
    <cfRule type="dataBar" priority="2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{B2154544-A1C4-4D0B-B4B9-5280CFC167FC}</x14:id>
        </ext>
      </extLst>
    </cfRule>
    <cfRule type="dataBar" priority="2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{245F51A3-8AA1-4E35-B295-5545B1BE55A9}</x14:id>
        </ext>
      </extLst>
    </cfRule>
    <cfRule type="dataBar" priority="2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{E6126A5E-2489-4082-BEF8-07F014ADBB36}</x14:id>
        </ext>
      </extLst>
    </cfRule>
    <cfRule type="dataBar" priority="2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{66973509-5CEB-4FF2-9D72-C59314F755ED}</x14:id>
        </ext>
      </extLst>
    </cfRule>
    <cfRule type="dataBar" priority="2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{6B539EEE-CBB4-43C0-98DF-DD3C69DCE0DE}</x14:id>
        </ext>
      </extLst>
    </cfRule>
    <cfRule type="dataBar" priority="2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{88ADFABA-F320-4C31-AD5C-F73F3D188B1A}</x14:id>
        </ext>
      </extLst>
    </cfRule>
    <cfRule type="dataBar" priority="2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{EF0E99BD-0489-4774-9C17-227E22397BB4}</x14:id>
        </ext>
      </extLst>
    </cfRule>
    <cfRule type="dataBar" priority="2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{F24FBC34-2D54-48E9-95CC-F57E3F391756}</x14:id>
        </ext>
      </extLst>
    </cfRule>
    <cfRule type="dataBar" priority="2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{66EB2D1B-F7F8-4703-A4A4-2B8AF8F6C7F2}</x14:id>
        </ext>
      </extLst>
    </cfRule>
    <cfRule type="dataBar" priority="2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{C5B574A0-3685-41DE-A12D-87E4E4AA639E}</x14:id>
        </ext>
      </extLst>
    </cfRule>
    <cfRule type="dataBar" priority="2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{A990A78C-30C6-4371-9815-4EA9B303EC9C}</x14:id>
        </ext>
      </extLst>
    </cfRule>
    <cfRule type="dataBar" priority="2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{B196C850-A37A-4741-AE45-BAC6ABFF7182}</x14:id>
        </ext>
      </extLst>
    </cfRule>
    <cfRule type="dataBar" priority="2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{867CA5CF-04E5-4D8D-A540-3A7F5CC09EE0}</x14:id>
        </ext>
      </extLst>
    </cfRule>
    <cfRule type="dataBar" priority="2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{91FE44E3-6000-4D8D-B37F-4B8A8B69E668}</x14:id>
        </ext>
      </extLst>
    </cfRule>
    <cfRule type="dataBar" priority="2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{31FE598B-5B93-4708-96FA-6092595E893C}</x14:id>
        </ext>
      </extLst>
    </cfRule>
    <cfRule type="dataBar" priority="2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{788E7E05-25FF-44F2-B7C5-89E368FF9780}</x14:id>
        </ext>
      </extLst>
    </cfRule>
    <cfRule type="dataBar" priority="2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{EFA0338C-0B85-4B44-938F-6F75FA63185A}</x14:id>
        </ext>
      </extLst>
    </cfRule>
    <cfRule type="dataBar" priority="2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{72586044-153B-45E4-8A8C-AE4D31440805}</x14:id>
        </ext>
      </extLst>
    </cfRule>
    <cfRule type="dataBar" priority="2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{B62D5BEE-B802-43B7-B44A-84A9DC1BCA20}</x14:id>
        </ext>
      </extLst>
    </cfRule>
    <cfRule type="dataBar" priority="2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{F3EF079A-818E-4BF3-914A-473F5ACDE54F}</x14:id>
        </ext>
      </extLst>
    </cfRule>
    <cfRule type="dataBar" priority="2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{EE4A297F-E583-4B89-B450-2F89C19F2FED}</x14:id>
        </ext>
      </extLst>
    </cfRule>
    <cfRule type="dataBar" priority="2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{A307DE29-E426-4603-AACE-09BC5297AB3F}</x14:id>
        </ext>
      </extLst>
    </cfRule>
    <cfRule type="dataBar" priority="2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{66C931D8-0ECE-43D3-8C23-27B7DCE61E3C}</x14:id>
        </ext>
      </extLst>
    </cfRule>
    <cfRule type="dataBar" priority="2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{CC3020CB-6C05-4528-A799-AD814AAEF26A}</x14:id>
        </ext>
      </extLst>
    </cfRule>
    <cfRule type="dataBar" priority="2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{D96C6135-0883-465C-B4CE-E6604C22E3B0}</x14:id>
        </ext>
      </extLst>
    </cfRule>
    <cfRule type="dataBar" priority="2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{A39C847F-30E5-4256-A2FF-E412B39C9BA5}</x14:id>
        </ext>
      </extLst>
    </cfRule>
    <cfRule type="dataBar" priority="2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{1C5A87B2-A470-40AD-A107-F1BE5A970E74}</x14:id>
        </ext>
      </extLst>
    </cfRule>
    <cfRule type="dataBar" priority="2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{D37517AB-9139-4AAB-AA22-E463C86FE41E}</x14:id>
        </ext>
      </extLst>
    </cfRule>
    <cfRule type="dataBar" priority="2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{2AD7EE2C-BF28-4102-9356-F8A494C64A37}</x14:id>
        </ext>
      </extLst>
    </cfRule>
    <cfRule type="dataBar" priority="2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{3DB6C263-9F92-41EB-A2D2-2544273F2E18}</x14:id>
        </ext>
      </extLst>
    </cfRule>
    <cfRule type="dataBar" priority="2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{326F5E6F-ABB2-4C0F-B794-2EACC42944C9}</x14:id>
        </ext>
      </extLst>
    </cfRule>
    <cfRule type="dataBar" priority="2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{D0A6FB2D-971D-40F0-9EEE-8FB7875F4EAE}</x14:id>
        </ext>
      </extLst>
    </cfRule>
    <cfRule type="dataBar" priority="2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{D62CB419-2636-4DE7-BB79-7BCEC2379C38}</x14:id>
        </ext>
      </extLst>
    </cfRule>
    <cfRule type="dataBar" priority="2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{47F92121-09F1-4F48-9A1D-922BDE0FABE4}</x14:id>
        </ext>
      </extLst>
    </cfRule>
    <cfRule type="dataBar" priority="2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{57706FEE-411C-43AD-8560-E917ACC4B0F4}</x14:id>
        </ext>
      </extLst>
    </cfRule>
    <cfRule type="dataBar" priority="2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{C387B06C-6F1B-409C-B589-69C48C68E80B}</x14:id>
        </ext>
      </extLst>
    </cfRule>
    <cfRule type="dataBar" priority="2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{0AA897F8-A864-4F78-A1B8-C7AC2D196759}</x14:id>
        </ext>
      </extLst>
    </cfRule>
    <cfRule type="dataBar" priority="2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{BF567E2C-0DD4-458C-B6C7-4957C1F68098}</x14:id>
        </ext>
      </extLst>
    </cfRule>
    <cfRule type="dataBar" priority="2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{05D4BD66-57DD-4294-B012-6C1837459FFC}</x14:id>
        </ext>
      </extLst>
    </cfRule>
    <cfRule type="dataBar" priority="2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{C1C0336C-652F-44E2-A488-A92BF905BA42}</x14:id>
        </ext>
      </extLst>
    </cfRule>
    <cfRule type="dataBar" priority="2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{6AEAD1AA-7AA2-44FD-A3A5-FCCC2E72D42A}</x14:id>
        </ext>
      </extLst>
    </cfRule>
    <cfRule type="dataBar" priority="2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{DD101795-FFB1-48C1-BBB5-DB35A6EB074C}</x14:id>
        </ext>
      </extLst>
    </cfRule>
    <cfRule type="dataBar" priority="2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{60ECAB5E-51B6-4E3F-9816-EDDF5155FB74}</x14:id>
        </ext>
      </extLst>
    </cfRule>
    <cfRule type="dataBar" priority="2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{AD03AA9D-47AA-44FD-97A1-267E6002585E}</x14:id>
        </ext>
      </extLst>
    </cfRule>
    <cfRule type="dataBar" priority="2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{1434EC27-F2F0-485A-84A1-F58D267C7637}</x14:id>
        </ext>
      </extLst>
    </cfRule>
    <cfRule type="dataBar" priority="2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{0F92D077-2277-4217-99D1-DD68FD94D3EF}</x14:id>
        </ext>
      </extLst>
    </cfRule>
    <cfRule type="dataBar" priority="2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{66B6543F-4A93-450B-9796-2C73605E12D9}</x14:id>
        </ext>
      </extLst>
    </cfRule>
    <cfRule type="dataBar" priority="2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{AB6503CA-903E-48F0-A09D-1F5B92FD768E}</x14:id>
        </ext>
      </extLst>
    </cfRule>
    <cfRule type="dataBar" priority="2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{201CA943-C432-4C9B-8B3A-ED095DF71723}</x14:id>
        </ext>
      </extLst>
    </cfRule>
    <cfRule type="dataBar" priority="2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{B0148A7F-9208-42B1-A38B-4F5FB963659E}</x14:id>
        </ext>
      </extLst>
    </cfRule>
    <cfRule type="dataBar" priority="2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{F02FEB72-EA2F-49E2-BC5C-6C62652C4FE4}</x14:id>
        </ext>
      </extLst>
    </cfRule>
    <cfRule type="dataBar" priority="2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{06C1B32A-ACFF-40A4-9A33-598FB1B8A311}</x14:id>
        </ext>
      </extLst>
    </cfRule>
    <cfRule type="dataBar" priority="2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{3213D852-64B0-4FFB-9A40-9D8EE47EFC25}</x14:id>
        </ext>
      </extLst>
    </cfRule>
    <cfRule type="dataBar" priority="2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{8DDFD5DE-4617-45D7-8425-C126E55CCCE1}</x14:id>
        </ext>
      </extLst>
    </cfRule>
    <cfRule type="dataBar" priority="2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{EA5A70CB-8DB0-42AF-B568-D6363D2AEC53}</x14:id>
        </ext>
      </extLst>
    </cfRule>
    <cfRule type="dataBar" priority="2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{1E88DBD3-0B01-4039-A58F-A6A42EAA7CCB}</x14:id>
        </ext>
      </extLst>
    </cfRule>
  </conditionalFormatting>
  <conditionalFormatting sqref="C17:C18">
    <cfRule type="dataBar" priority="2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{0558006E-BB40-42E6-A7D7-BE35B058105D}</x14:id>
        </ext>
      </extLst>
    </cfRule>
    <cfRule type="dataBar" priority="2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{AED0ED7F-027A-4D5C-B5F9-0A19752BDDEC}</x14:id>
        </ext>
      </extLst>
    </cfRule>
  </conditionalFormatting>
  <conditionalFormatting sqref="C18">
    <cfRule type="dataBar" priority="2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{A22BA63E-D473-4231-B599-4D629E075EE7}</x14:id>
        </ext>
      </extLst>
    </cfRule>
  </conditionalFormatting>
  <conditionalFormatting sqref="C17">
    <cfRule type="dataBar" priority="2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{FC3EDBF5-C933-453A-AEDF-DA61A43932D7}</x14:id>
        </ext>
      </extLst>
    </cfRule>
    <cfRule type="dataBar" priority="2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{F47749E6-5050-4526-A7CC-6D875DF867A8}</x14:id>
        </ext>
      </extLst>
    </cfRule>
    <cfRule type="dataBar" priority="2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{C7F2B9D9-61E6-42FC-A0ED-8A45E11FA471}</x14:id>
        </ext>
      </extLst>
    </cfRule>
    <cfRule type="dataBar" priority="2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{B0CB1DDF-8DB4-49BF-B320-CCBB6D26839D}</x14:id>
        </ext>
      </extLst>
    </cfRule>
    <cfRule type="dataBar" priority="2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{9FC868F6-D749-41BF-BB67-57B591AF9CB4}</x14:id>
        </ext>
      </extLst>
    </cfRule>
    <cfRule type="dataBar" priority="2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{58F7A35B-7D5B-493A-8083-39502A9581FD}</x14:id>
        </ext>
      </extLst>
    </cfRule>
    <cfRule type="dataBar" priority="2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{5D423FB4-EF28-488B-8F61-F4073FF1D3F0}</x14:id>
        </ext>
      </extLst>
    </cfRule>
    <cfRule type="dataBar" priority="2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{F35AB82F-A05F-42DA-A2DB-C754BAF36EFB}</x14:id>
        </ext>
      </extLst>
    </cfRule>
    <cfRule type="dataBar" priority="2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{8F4345B6-673C-49A5-A782-74952F103C48}</x14:id>
        </ext>
      </extLst>
    </cfRule>
    <cfRule type="dataBar" priority="2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{C4533563-B0A1-4237-B7F3-5332C77AA596}</x14:id>
        </ext>
      </extLst>
    </cfRule>
    <cfRule type="dataBar" priority="2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{47FF1A8A-2C80-4FBF-956D-37AA2BF2A27B}</x14:id>
        </ext>
      </extLst>
    </cfRule>
    <cfRule type="dataBar" priority="2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{5AECF70F-AFC5-41B8-B100-234A94791815}</x14:id>
        </ext>
      </extLst>
    </cfRule>
    <cfRule type="dataBar" priority="2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{8E4B82CF-EDDC-4392-A3EC-69A4466F2015}</x14:id>
        </ext>
      </extLst>
    </cfRule>
    <cfRule type="dataBar" priority="2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{4F736FF6-3D74-44CF-9C23-95039D50589A}</x14:id>
        </ext>
      </extLst>
    </cfRule>
    <cfRule type="dataBar" priority="2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{0B9150BD-D2E4-449E-B589-0F577545B233}</x14:id>
        </ext>
      </extLst>
    </cfRule>
    <cfRule type="dataBar" priority="2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{41BE8973-0B45-403A-9D63-F253BFB8340C}</x14:id>
        </ext>
      </extLst>
    </cfRule>
    <cfRule type="dataBar" priority="2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{98C17920-94FA-4CF6-B364-32BD831048A7}</x14:id>
        </ext>
      </extLst>
    </cfRule>
    <cfRule type="dataBar" priority="2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{07B10DBC-619A-4ABB-A6F4-60BA1D9DDE3F}</x14:id>
        </ext>
      </extLst>
    </cfRule>
    <cfRule type="dataBar" priority="2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{AF850C89-DF67-4A7E-8AEB-1915FBBFAAE9}</x14:id>
        </ext>
      </extLst>
    </cfRule>
    <cfRule type="dataBar" priority="2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{1E7872C3-699E-45F8-BC8F-1E6FAF953EEC}</x14:id>
        </ext>
      </extLst>
    </cfRule>
    <cfRule type="dataBar" priority="2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{EA677162-B349-4E6A-A704-C44AC8E36669}</x14:id>
        </ext>
      </extLst>
    </cfRule>
    <cfRule type="dataBar" priority="2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{86DAF204-BE90-49E9-B1C6-DC4C9563765D}</x14:id>
        </ext>
      </extLst>
    </cfRule>
    <cfRule type="dataBar" priority="2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{9BE83FF5-CA27-4256-B641-5809224A365A}</x14:id>
        </ext>
      </extLst>
    </cfRule>
    <cfRule type="dataBar" priority="2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{D5B26F39-AD66-49F8-A811-37C8AEF4B1CE}</x14:id>
        </ext>
      </extLst>
    </cfRule>
    <cfRule type="dataBar" priority="2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{B98F2594-5363-407F-A78B-962F08601C7E}</x14:id>
        </ext>
      </extLst>
    </cfRule>
    <cfRule type="dataBar" priority="2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{DF91A475-E85D-4453-BF9A-2958C819A9CE}</x14:id>
        </ext>
      </extLst>
    </cfRule>
    <cfRule type="dataBar" priority="2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{843F44ED-B645-458F-8398-9920D3FF9B26}</x14:id>
        </ext>
      </extLst>
    </cfRule>
    <cfRule type="dataBar" priority="2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{63A76729-7D23-4C4D-8EBA-4714BBEB0624}</x14:id>
        </ext>
      </extLst>
    </cfRule>
    <cfRule type="dataBar" priority="2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{A71D84E1-7A6C-4534-9C61-53E87C5FC5C8}</x14:id>
        </ext>
      </extLst>
    </cfRule>
    <cfRule type="dataBar" priority="2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{37D6F6DC-C5AD-46E1-88F1-774607CEC634}</x14:id>
        </ext>
      </extLst>
    </cfRule>
    <cfRule type="dataBar" priority="2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{BC9E032A-D7D3-41EA-90D9-2A00800C234A}</x14:id>
        </ext>
      </extLst>
    </cfRule>
    <cfRule type="dataBar" priority="2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{68131C94-4F4E-41FB-91FC-B3D70CF7A61D}</x14:id>
        </ext>
      </extLst>
    </cfRule>
    <cfRule type="dataBar" priority="2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{021FBF82-DF54-4627-A7AE-E8B4F7B5AF8A}</x14:id>
        </ext>
      </extLst>
    </cfRule>
    <cfRule type="dataBar" priority="2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{6CC26882-5B15-4938-84D0-3468F633D4CD}</x14:id>
        </ext>
      </extLst>
    </cfRule>
    <cfRule type="dataBar" priority="2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{57720395-F92C-4CD1-8B7D-5B2CC595CB5C}</x14:id>
        </ext>
      </extLst>
    </cfRule>
    <cfRule type="dataBar" priority="2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{42D2163A-7ECE-4D23-BD76-6FDF74604789}</x14:id>
        </ext>
      </extLst>
    </cfRule>
    <cfRule type="dataBar" priority="2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{9B280022-2612-4922-8950-77E17489E2C4}</x14:id>
        </ext>
      </extLst>
    </cfRule>
    <cfRule type="dataBar" priority="2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{73E54374-98B4-4EE0-AD30-600F960651DE}</x14:id>
        </ext>
      </extLst>
    </cfRule>
    <cfRule type="dataBar" priority="2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{D7ECACBF-03B2-4370-99E0-9B28905780C4}</x14:id>
        </ext>
      </extLst>
    </cfRule>
    <cfRule type="dataBar" priority="2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{03645E6B-3943-4C2F-88C5-50E435755F62}</x14:id>
        </ext>
      </extLst>
    </cfRule>
    <cfRule type="dataBar" priority="2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{121B3988-99F7-4006-A5BB-63BAEBCE1627}</x14:id>
        </ext>
      </extLst>
    </cfRule>
    <cfRule type="dataBar" priority="2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{4BBD6F48-717A-4E14-8F71-6A197AC65070}</x14:id>
        </ext>
      </extLst>
    </cfRule>
    <cfRule type="dataBar" priority="2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{0872777A-2CDC-4EF0-B46B-CA09A4BC66CC}</x14:id>
        </ext>
      </extLst>
    </cfRule>
    <cfRule type="dataBar" priority="2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{3DF966D8-C2D3-4371-9BF4-31167430B76C}</x14:id>
        </ext>
      </extLst>
    </cfRule>
    <cfRule type="dataBar" priority="2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{ECC17CA2-1092-42CB-87F8-86884F61ABAF}</x14:id>
        </ext>
      </extLst>
    </cfRule>
    <cfRule type="dataBar" priority="2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{3B932E96-B912-4FCA-BC41-3FD27C44D929}</x14:id>
        </ext>
      </extLst>
    </cfRule>
    <cfRule type="dataBar" priority="2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{64287014-7ACF-4307-92AF-37863C66A284}</x14:id>
        </ext>
      </extLst>
    </cfRule>
    <cfRule type="dataBar" priority="2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{21B3E7C3-A2E8-4EB4-8E20-F52B3FB46C6C}</x14:id>
        </ext>
      </extLst>
    </cfRule>
    <cfRule type="dataBar" priority="2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{E6F19061-3DF7-4D9B-A876-9AB5C7E67697}</x14:id>
        </ext>
      </extLst>
    </cfRule>
    <cfRule type="dataBar" priority="2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{B527864D-4EFD-4F9B-A5B3-84A0C5D56E34}</x14:id>
        </ext>
      </extLst>
    </cfRule>
    <cfRule type="dataBar" priority="2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{98835310-06E1-43B1-9345-60A4EE1262A9}</x14:id>
        </ext>
      </extLst>
    </cfRule>
    <cfRule type="dataBar" priority="2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{733FB23D-3BE4-4861-A66F-2922492EE000}</x14:id>
        </ext>
      </extLst>
    </cfRule>
    <cfRule type="dataBar" priority="2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{EDB9546C-0F2C-453C-BAE0-741C31903160}</x14:id>
        </ext>
      </extLst>
    </cfRule>
    <cfRule type="dataBar" priority="2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{3AB56FA9-7D51-4D11-A021-6AB232F2036D}</x14:id>
        </ext>
      </extLst>
    </cfRule>
    <cfRule type="dataBar" priority="2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{1089600A-3DEF-4D64-A1D8-0BE23EA37AF1}</x14:id>
        </ext>
      </extLst>
    </cfRule>
    <cfRule type="dataBar" priority="2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{E28EB05A-A04D-4CDA-A1C1-0BE71B35BD82}</x14:id>
        </ext>
      </extLst>
    </cfRule>
    <cfRule type="dataBar" priority="2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{C409C5C9-B362-4E7D-B929-E7B3B14D6B8D}</x14:id>
        </ext>
      </extLst>
    </cfRule>
    <cfRule type="dataBar" priority="2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{28A2FEB7-C497-4173-89F6-0A5EDD4FB781}</x14:id>
        </ext>
      </extLst>
    </cfRule>
    <cfRule type="dataBar" priority="2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{F2F80AD8-EC68-4416-8AC2-85BA40EE8226}</x14:id>
        </ext>
      </extLst>
    </cfRule>
    <cfRule type="dataBar" priority="2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{28DFBE48-1055-4CC7-82B6-FE2AB1D3AC98}</x14:id>
        </ext>
      </extLst>
    </cfRule>
    <cfRule type="dataBar" priority="2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{938C7B4B-EDAB-4AC9-80F3-35A63C63FBD5}</x14:id>
        </ext>
      </extLst>
    </cfRule>
    <cfRule type="dataBar" priority="2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{58599882-91BE-4F13-8D58-C30FC61C3834}</x14:id>
        </ext>
      </extLst>
    </cfRule>
    <cfRule type="dataBar" priority="2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{45101A75-E2FA-4D60-832F-DB9FC644D702}</x14:id>
        </ext>
      </extLst>
    </cfRule>
    <cfRule type="dataBar" priority="2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{A0423AAA-1A3D-48AE-AF60-186F3557C431}</x14:id>
        </ext>
      </extLst>
    </cfRule>
    <cfRule type="dataBar" priority="2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{2EF4C454-0628-4D32-AB1D-80847CD9FF14}</x14:id>
        </ext>
      </extLst>
    </cfRule>
    <cfRule type="dataBar" priority="2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{B4479E49-F2B5-4C62-989E-D07C352488B6}</x14:id>
        </ext>
      </extLst>
    </cfRule>
    <cfRule type="dataBar" priority="2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{D1B4C3B1-D022-40B2-BF10-0E256A77162E}</x14:id>
        </ext>
      </extLst>
    </cfRule>
    <cfRule type="dataBar" priority="2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{C5E8F4D4-71C5-4A7F-89E2-CCE0435BA3CD}</x14:id>
        </ext>
      </extLst>
    </cfRule>
    <cfRule type="dataBar" priority="2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{376A84A2-FBA1-421E-AE9D-3FF40C048357}</x14:id>
        </ext>
      </extLst>
    </cfRule>
    <cfRule type="dataBar" priority="2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{CB47BD31-F54C-426A-8373-95C08E43EE1E}</x14:id>
        </ext>
      </extLst>
    </cfRule>
    <cfRule type="dataBar" priority="2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{89B4171E-4D3D-4AFB-99A9-43162C7DE0E2}</x14:id>
        </ext>
      </extLst>
    </cfRule>
    <cfRule type="dataBar" priority="2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{DC854327-A17A-4969-8FA3-261008E40304}</x14:id>
        </ext>
      </extLst>
    </cfRule>
    <cfRule type="dataBar" priority="2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{248663CE-195C-4B56-9A9F-0B3297B60A23}</x14:id>
        </ext>
      </extLst>
    </cfRule>
    <cfRule type="dataBar" priority="2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{196064EC-32A6-45F7-AB30-B5298E810393}</x14:id>
        </ext>
      </extLst>
    </cfRule>
    <cfRule type="dataBar" priority="2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{D33FFC4D-048B-4B17-9F8F-F03737F4E2EC}</x14:id>
        </ext>
      </extLst>
    </cfRule>
    <cfRule type="dataBar" priority="2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{F9E196D9-E387-4FB3-811E-D6F8F4C9B91B}</x14:id>
        </ext>
      </extLst>
    </cfRule>
    <cfRule type="dataBar" priority="2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{F37A2E09-D7CB-4799-976F-86260BCD404A}</x14:id>
        </ext>
      </extLst>
    </cfRule>
  </conditionalFormatting>
  <conditionalFormatting sqref="C17:C18">
    <cfRule type="dataBar" priority="2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{3DD5FF04-39AB-421D-9D9A-C564B2C2B3BA}</x14:id>
        </ext>
      </extLst>
    </cfRule>
    <cfRule type="dataBar" priority="2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{DFEC0F48-C4B0-4ABF-BDA1-36303EB786F7}</x14:id>
        </ext>
      </extLst>
    </cfRule>
    <cfRule type="dataBar" priority="2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{634C794A-6675-4DCC-A6D6-8F4D2C23BA45}</x14:id>
        </ext>
      </extLst>
    </cfRule>
    <cfRule type="dataBar" priority="20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{4F60878C-5F28-4BD7-98B7-5A304E63CC82}</x14:id>
        </ext>
      </extLst>
    </cfRule>
    <cfRule type="dataBar" priority="20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{D4919622-A950-4C11-804E-6EBD3E20D8D3}</x14:id>
        </ext>
      </extLst>
    </cfRule>
    <cfRule type="dataBar" priority="20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{38CDDA12-8655-458B-A98C-FBC4FF72C953}</x14:id>
        </ext>
      </extLst>
    </cfRule>
    <cfRule type="dataBar" priority="2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{F3485CC1-02E7-499C-81E0-7C7585A2BAA7}</x14:id>
        </ext>
      </extLst>
    </cfRule>
    <cfRule type="dataBar" priority="20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{A73CE4E0-E35F-4ADF-A1C4-E4F75B4C3D02}</x14:id>
        </ext>
      </extLst>
    </cfRule>
    <cfRule type="dataBar" priority="2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{0CFC0188-CCE3-456D-9492-43E6AC6A0438}</x14:id>
        </ext>
      </extLst>
    </cfRule>
    <cfRule type="dataBar" priority="2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{1F9D90D7-5507-420E-8D32-279263493EC0}</x14:id>
        </ext>
      </extLst>
    </cfRule>
    <cfRule type="dataBar" priority="2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{0781E354-D348-4DF7-A4FC-04B8C0C1B117}</x14:id>
        </ext>
      </extLst>
    </cfRule>
    <cfRule type="dataBar" priority="2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{1BA2242B-106C-4317-B3E6-E819C0EE226E}</x14:id>
        </ext>
      </extLst>
    </cfRule>
    <cfRule type="dataBar" priority="2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{CD5227D5-35A9-4E1A-A036-8F204D1E5463}</x14:id>
        </ext>
      </extLst>
    </cfRule>
    <cfRule type="dataBar" priority="2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{6D65F949-6E20-4C5C-B0CB-93913E47E3CE}</x14:id>
        </ext>
      </extLst>
    </cfRule>
    <cfRule type="dataBar" priority="2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{23EC6F05-E30B-40B1-BC31-2530FCE4B8F7}</x14:id>
        </ext>
      </extLst>
    </cfRule>
    <cfRule type="dataBar" priority="2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{A7A9B279-EC6C-44AF-91C0-22901BD14CDE}</x14:id>
        </ext>
      </extLst>
    </cfRule>
    <cfRule type="dataBar" priority="2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{1FD0F4EA-A2E7-4439-A318-7FFFFD838CEF}</x14:id>
        </ext>
      </extLst>
    </cfRule>
    <cfRule type="dataBar" priority="2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{92D35280-A5DC-4DA1-834C-2B2AAEDA853D}</x14:id>
        </ext>
      </extLst>
    </cfRule>
    <cfRule type="dataBar" priority="2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{81A09CB9-D4C2-40B8-B02D-FA1FBE9635C0}</x14:id>
        </ext>
      </extLst>
    </cfRule>
    <cfRule type="dataBar" priority="2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{5ECEC1BC-A2BC-474D-96F8-51173C387C47}</x14:id>
        </ext>
      </extLst>
    </cfRule>
    <cfRule type="dataBar" priority="2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{5D4670BF-E171-408C-8756-3CB5EDB20B57}</x14:id>
        </ext>
      </extLst>
    </cfRule>
    <cfRule type="dataBar" priority="2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{4714B3C3-3E6E-49B6-9136-72C97AB978A9}</x14:id>
        </ext>
      </extLst>
    </cfRule>
    <cfRule type="dataBar" priority="2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{4EAD6186-7D9B-475A-ADA8-EE18D3AE0AA9}</x14:id>
        </ext>
      </extLst>
    </cfRule>
    <cfRule type="dataBar" priority="2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{214E38C3-01B4-4DB6-B4BA-0DFEDC3032C0}</x14:id>
        </ext>
      </extLst>
    </cfRule>
    <cfRule type="dataBar" priority="2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{0905ACF6-580A-49B0-9A98-56ABA9BF975B}</x14:id>
        </ext>
      </extLst>
    </cfRule>
    <cfRule type="dataBar" priority="2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{5D301B51-68F4-4F9C-B507-A5F4F8E254E1}</x14:id>
        </ext>
      </extLst>
    </cfRule>
    <cfRule type="dataBar" priority="2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{46023287-96AC-49C6-9401-F9E073351742}</x14:id>
        </ext>
      </extLst>
    </cfRule>
    <cfRule type="dataBar" priority="2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{3E20B430-D093-41E0-A96D-8DE540228D85}</x14:id>
        </ext>
      </extLst>
    </cfRule>
    <cfRule type="dataBar" priority="2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{390BB0E6-C748-4C41-AD0A-5626BC672318}</x14:id>
        </ext>
      </extLst>
    </cfRule>
    <cfRule type="dataBar" priority="2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{46E98658-DD34-44CD-8A0F-966C7FF877F8}</x14:id>
        </ext>
      </extLst>
    </cfRule>
    <cfRule type="dataBar" priority="2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{F43FA915-5B46-4551-AD8B-6106AE9D6189}</x14:id>
        </ext>
      </extLst>
    </cfRule>
    <cfRule type="dataBar" priority="2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{3B65A66E-84E9-43AE-9A89-7E6AD2725CE4}</x14:id>
        </ext>
      </extLst>
    </cfRule>
    <cfRule type="dataBar" priority="2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{6EBC0301-FDF9-4B06-9F0E-88A911A74723}</x14:id>
        </ext>
      </extLst>
    </cfRule>
  </conditionalFormatting>
  <conditionalFormatting sqref="C18">
    <cfRule type="dataBar" priority="2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{95AFE3FB-E2C0-4B4D-87F7-AD8AC9084B7F}</x14:id>
        </ext>
      </extLst>
    </cfRule>
    <cfRule type="dataBar" priority="2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{9E02ACFD-3284-4A51-9A85-7DD09B7E6AED}</x14:id>
        </ext>
      </extLst>
    </cfRule>
    <cfRule type="dataBar" priority="20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{55E44E60-008B-46DF-AD9A-A888CBE36070}</x14:id>
        </ext>
      </extLst>
    </cfRule>
  </conditionalFormatting>
  <conditionalFormatting sqref="D17:D18">
    <cfRule type="dataBar" priority="2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{05AD5693-97E3-4F2C-A203-3A1C6877F144}</x14:id>
        </ext>
      </extLst>
    </cfRule>
    <cfRule type="dataBar" priority="20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{F7067059-22D8-4074-B193-C771FE9DFD7A}</x14:id>
        </ext>
      </extLst>
    </cfRule>
  </conditionalFormatting>
  <conditionalFormatting sqref="C33:C34">
    <cfRule type="dataBar" priority="2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{26C3612E-1312-41CF-B52A-A78BD2F17B06}</x14:id>
        </ext>
      </extLst>
    </cfRule>
    <cfRule type="dataBar" priority="2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{4E361A86-86BF-43ED-9C60-B723EC8FAB1D}</x14:id>
        </ext>
      </extLst>
    </cfRule>
  </conditionalFormatting>
  <conditionalFormatting sqref="C23:C26 C20">
    <cfRule type="dataBar" priority="2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{B487DC24-E7F3-4A47-B78A-15742896FD97}</x14:id>
        </ext>
      </extLst>
    </cfRule>
    <cfRule type="dataBar" priority="2044">
      <dataBar>
        <cfvo type="min"/>
        <cfvo type="max"/>
        <color rgb="FF638EC6"/>
      </dataBar>
    </cfRule>
    <cfRule type="dataBar" priority="2045">
      <dataBar>
        <cfvo type="min"/>
        <cfvo type="max"/>
        <color rgb="FF638EC6"/>
      </dataBar>
    </cfRule>
    <cfRule type="dataBar" priority="2046">
      <dataBar>
        <cfvo type="min"/>
        <cfvo type="max"/>
        <color rgb="FF638EC6"/>
      </dataBar>
    </cfRule>
    <cfRule type="dataBar" priority="2047">
      <dataBar>
        <cfvo type="min"/>
        <cfvo type="max"/>
        <color rgb="FF638EC6"/>
      </dataBar>
    </cfRule>
    <cfRule type="dataBar" priority="2048">
      <dataBar>
        <cfvo type="min"/>
        <cfvo type="max"/>
        <color rgb="FF638EC6"/>
      </dataBar>
    </cfRule>
    <cfRule type="dataBar" priority="2049">
      <dataBar>
        <cfvo type="min"/>
        <cfvo type="max"/>
        <color rgb="FF638EC6"/>
      </dataBar>
    </cfRule>
    <cfRule type="dataBar" priority="2050">
      <dataBar>
        <cfvo type="min"/>
        <cfvo type="max"/>
        <color rgb="FF638EC6"/>
      </dataBar>
    </cfRule>
    <cfRule type="dataBar" priority="2051">
      <dataBar>
        <cfvo type="min"/>
        <cfvo type="max"/>
        <color rgb="FF638EC6"/>
      </dataBar>
    </cfRule>
    <cfRule type="dataBar" priority="2052">
      <dataBar>
        <cfvo type="min"/>
        <cfvo type="max"/>
        <color rgb="FF638EC6"/>
      </dataBar>
    </cfRule>
    <cfRule type="dataBar" priority="2053">
      <dataBar>
        <cfvo type="min"/>
        <cfvo type="max"/>
        <color rgb="FF638EC6"/>
      </dataBar>
    </cfRule>
    <cfRule type="dataBar" priority="2054">
      <dataBar>
        <cfvo type="min"/>
        <cfvo type="max"/>
        <color rgb="FF638EC6"/>
      </dataBar>
    </cfRule>
    <cfRule type="dataBar" priority="2055">
      <dataBar>
        <cfvo type="min"/>
        <cfvo type="max"/>
        <color rgb="FF638EC6"/>
      </dataBar>
    </cfRule>
    <cfRule type="dataBar" priority="2056">
      <dataBar>
        <cfvo type="min"/>
        <cfvo type="max"/>
        <color rgb="FF638EC6"/>
      </dataBar>
    </cfRule>
    <cfRule type="dataBar" priority="2057">
      <dataBar>
        <cfvo type="min"/>
        <cfvo type="max"/>
        <color rgb="FF638EC6"/>
      </dataBar>
    </cfRule>
    <cfRule type="dataBar" priority="2058">
      <dataBar>
        <cfvo type="min"/>
        <cfvo type="max"/>
        <color rgb="FF638EC6"/>
      </dataBar>
    </cfRule>
    <cfRule type="dataBar" priority="2059">
      <dataBar>
        <cfvo type="min"/>
        <cfvo type="max"/>
        <color rgb="FF638EC6"/>
      </dataBar>
    </cfRule>
    <cfRule type="dataBar" priority="20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{140DBF18-F88C-4B10-A1BD-7B3B439568ED}</x14:id>
        </ext>
      </extLst>
    </cfRule>
    <cfRule type="dataBar" priority="2061">
      <dataBar>
        <cfvo type="min"/>
        <cfvo type="max"/>
        <color rgb="FF638EC6"/>
      </dataBar>
    </cfRule>
    <cfRule type="dataBar" priority="2062">
      <dataBar>
        <cfvo type="min"/>
        <cfvo type="max"/>
        <color rgb="FF638EC6"/>
      </dataBar>
    </cfRule>
    <cfRule type="dataBar" priority="2063">
      <dataBar>
        <cfvo type="min"/>
        <cfvo type="max"/>
        <color rgb="FF638EC6"/>
      </dataBar>
    </cfRule>
    <cfRule type="dataBar" priority="2064">
      <dataBar>
        <cfvo type="min"/>
        <cfvo type="max"/>
        <color rgb="FF638EC6"/>
      </dataBar>
    </cfRule>
    <cfRule type="dataBar" priority="2065">
      <dataBar>
        <cfvo type="min"/>
        <cfvo type="max"/>
        <color rgb="FF638EC6"/>
      </dataBar>
    </cfRule>
    <cfRule type="dataBar" priority="2066">
      <dataBar>
        <cfvo type="min"/>
        <cfvo type="max"/>
        <color rgb="FF638EC6"/>
      </dataBar>
    </cfRule>
    <cfRule type="dataBar" priority="2067">
      <dataBar>
        <cfvo type="min"/>
        <cfvo type="max"/>
        <color rgb="FF638EC6"/>
      </dataBar>
    </cfRule>
    <cfRule type="dataBar" priority="2068">
      <dataBar>
        <cfvo type="min"/>
        <cfvo type="max"/>
        <color rgb="FF638EC6"/>
      </dataBar>
    </cfRule>
    <cfRule type="dataBar" priority="2069">
      <dataBar>
        <cfvo type="min"/>
        <cfvo type="max"/>
        <color rgb="FF638EC6"/>
      </dataBar>
    </cfRule>
    <cfRule type="dataBar" priority="2070">
      <dataBar>
        <cfvo type="min"/>
        <cfvo type="max"/>
        <color rgb="FF638EC6"/>
      </dataBar>
    </cfRule>
    <cfRule type="dataBar" priority="2071">
      <dataBar>
        <cfvo type="min"/>
        <cfvo type="max"/>
        <color rgb="FF638EC6"/>
      </dataBar>
    </cfRule>
    <cfRule type="dataBar" priority="2072">
      <dataBar>
        <cfvo type="min"/>
        <cfvo type="max"/>
        <color rgb="FF638EC6"/>
      </dataBar>
    </cfRule>
    <cfRule type="dataBar" priority="2073">
      <dataBar>
        <cfvo type="min"/>
        <cfvo type="max"/>
        <color rgb="FF638EC6"/>
      </dataBar>
    </cfRule>
    <cfRule type="dataBar" priority="2074">
      <dataBar>
        <cfvo type="min"/>
        <cfvo type="max"/>
        <color rgb="FF638EC6"/>
      </dataBar>
    </cfRule>
    <cfRule type="dataBar" priority="2075">
      <dataBar>
        <cfvo type="min"/>
        <cfvo type="max"/>
        <color rgb="FF638EC6"/>
      </dataBar>
    </cfRule>
    <cfRule type="dataBar" priority="2076">
      <dataBar>
        <cfvo type="min"/>
        <cfvo type="max"/>
        <color rgb="FF638EC6"/>
      </dataBar>
    </cfRule>
    <cfRule type="dataBar" priority="2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{A9CABC1E-3B46-43EC-A781-FBE6C19FF0AB}</x14:id>
        </ext>
      </extLst>
    </cfRule>
    <cfRule type="dataBar" priority="2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{35410CEF-CD1E-41CE-9D38-05C1AEA4AF63}</x14:id>
        </ext>
      </extLst>
    </cfRule>
    <cfRule type="dataBar" priority="2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{C8926E85-642F-40AF-BA9A-C3CB2B76E5DC}</x14:id>
        </ext>
      </extLst>
    </cfRule>
    <cfRule type="dataBar" priority="20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{7063A448-1FA7-4412-B6FC-6786707A507F}</x14:id>
        </ext>
      </extLst>
    </cfRule>
    <cfRule type="dataBar" priority="20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{A7A17157-E8B0-44B7-A595-6E6BD341F403}</x14:id>
        </ext>
      </extLst>
    </cfRule>
    <cfRule type="dataBar" priority="20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{1B3C66EA-6093-4930-8673-549C9C6A36A6}</x14:id>
        </ext>
      </extLst>
    </cfRule>
    <cfRule type="dataBar" priority="2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{D57484AD-0BBB-4BA9-BA87-D51FF2E31635}</x14:id>
        </ext>
      </extLst>
    </cfRule>
    <cfRule type="dataBar" priority="20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{F26AF69F-E4D6-42DF-86F1-340D54CAF304}</x14:id>
        </ext>
      </extLst>
    </cfRule>
  </conditionalFormatting>
  <conditionalFormatting sqref="C16">
    <cfRule type="dataBar" priority="2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{1F0EB4CE-585E-4CAC-922A-37F1BF452C23}</x14:id>
        </ext>
      </extLst>
    </cfRule>
    <cfRule type="dataBar" priority="2002">
      <dataBar>
        <cfvo type="min"/>
        <cfvo type="max"/>
        <color rgb="FF638EC6"/>
      </dataBar>
    </cfRule>
    <cfRule type="dataBar" priority="2003">
      <dataBar>
        <cfvo type="min"/>
        <cfvo type="max"/>
        <color rgb="FF638EC6"/>
      </dataBar>
    </cfRule>
    <cfRule type="dataBar" priority="2004">
      <dataBar>
        <cfvo type="min"/>
        <cfvo type="max"/>
        <color rgb="FF638EC6"/>
      </dataBar>
    </cfRule>
    <cfRule type="dataBar" priority="2005">
      <dataBar>
        <cfvo type="min"/>
        <cfvo type="max"/>
        <color rgb="FF638EC6"/>
      </dataBar>
    </cfRule>
    <cfRule type="dataBar" priority="2006">
      <dataBar>
        <cfvo type="min"/>
        <cfvo type="max"/>
        <color rgb="FF638EC6"/>
      </dataBar>
    </cfRule>
    <cfRule type="dataBar" priority="2007">
      <dataBar>
        <cfvo type="min"/>
        <cfvo type="max"/>
        <color rgb="FF638EC6"/>
      </dataBar>
    </cfRule>
    <cfRule type="dataBar" priority="2008">
      <dataBar>
        <cfvo type="min"/>
        <cfvo type="max"/>
        <color rgb="FF638EC6"/>
      </dataBar>
    </cfRule>
    <cfRule type="dataBar" priority="2009">
      <dataBar>
        <cfvo type="min"/>
        <cfvo type="max"/>
        <color rgb="FF638EC6"/>
      </dataBar>
    </cfRule>
    <cfRule type="dataBar" priority="2010">
      <dataBar>
        <cfvo type="min"/>
        <cfvo type="max"/>
        <color rgb="FF638EC6"/>
      </dataBar>
    </cfRule>
    <cfRule type="dataBar" priority="2011">
      <dataBar>
        <cfvo type="min"/>
        <cfvo type="max"/>
        <color rgb="FF638EC6"/>
      </dataBar>
    </cfRule>
    <cfRule type="dataBar" priority="2012">
      <dataBar>
        <cfvo type="min"/>
        <cfvo type="max"/>
        <color rgb="FF638EC6"/>
      </dataBar>
    </cfRule>
    <cfRule type="dataBar" priority="2013">
      <dataBar>
        <cfvo type="min"/>
        <cfvo type="max"/>
        <color rgb="FF638EC6"/>
      </dataBar>
    </cfRule>
    <cfRule type="dataBar" priority="2014">
      <dataBar>
        <cfvo type="min"/>
        <cfvo type="max"/>
        <color rgb="FF638EC6"/>
      </dataBar>
    </cfRule>
    <cfRule type="dataBar" priority="2015">
      <dataBar>
        <cfvo type="min"/>
        <cfvo type="max"/>
        <color rgb="FF638EC6"/>
      </dataBar>
    </cfRule>
    <cfRule type="dataBar" priority="2016">
      <dataBar>
        <cfvo type="min"/>
        <cfvo type="max"/>
        <color rgb="FF638EC6"/>
      </dataBar>
    </cfRule>
    <cfRule type="dataBar" priority="2017">
      <dataBar>
        <cfvo type="min"/>
        <cfvo type="max"/>
        <color rgb="FF638EC6"/>
      </dataBar>
    </cfRule>
    <cfRule type="dataBar" priority="2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{F3798DF9-9CF8-4CAB-8DB1-87619C188C1F}</x14:id>
        </ext>
      </extLst>
    </cfRule>
    <cfRule type="dataBar" priority="2019">
      <dataBar>
        <cfvo type="min"/>
        <cfvo type="max"/>
        <color rgb="FF638EC6"/>
      </dataBar>
    </cfRule>
    <cfRule type="dataBar" priority="2020">
      <dataBar>
        <cfvo type="min"/>
        <cfvo type="max"/>
        <color rgb="FF638EC6"/>
      </dataBar>
    </cfRule>
    <cfRule type="dataBar" priority="2021">
      <dataBar>
        <cfvo type="min"/>
        <cfvo type="max"/>
        <color rgb="FF638EC6"/>
      </dataBar>
    </cfRule>
    <cfRule type="dataBar" priority="2022">
      <dataBar>
        <cfvo type="min"/>
        <cfvo type="max"/>
        <color rgb="FF638EC6"/>
      </dataBar>
    </cfRule>
    <cfRule type="dataBar" priority="2023">
      <dataBar>
        <cfvo type="min"/>
        <cfvo type="max"/>
        <color rgb="FF638EC6"/>
      </dataBar>
    </cfRule>
    <cfRule type="dataBar" priority="2024">
      <dataBar>
        <cfvo type="min"/>
        <cfvo type="max"/>
        <color rgb="FF638EC6"/>
      </dataBar>
    </cfRule>
    <cfRule type="dataBar" priority="2025">
      <dataBar>
        <cfvo type="min"/>
        <cfvo type="max"/>
        <color rgb="FF638EC6"/>
      </dataBar>
    </cfRule>
    <cfRule type="dataBar" priority="2026">
      <dataBar>
        <cfvo type="min"/>
        <cfvo type="max"/>
        <color rgb="FF638EC6"/>
      </dataBar>
    </cfRule>
    <cfRule type="dataBar" priority="2027">
      <dataBar>
        <cfvo type="min"/>
        <cfvo type="max"/>
        <color rgb="FF638EC6"/>
      </dataBar>
    </cfRule>
    <cfRule type="dataBar" priority="2028">
      <dataBar>
        <cfvo type="min"/>
        <cfvo type="max"/>
        <color rgb="FF638EC6"/>
      </dataBar>
    </cfRule>
    <cfRule type="dataBar" priority="2029">
      <dataBar>
        <cfvo type="min"/>
        <cfvo type="max"/>
        <color rgb="FF638EC6"/>
      </dataBar>
    </cfRule>
    <cfRule type="dataBar" priority="2030">
      <dataBar>
        <cfvo type="min"/>
        <cfvo type="max"/>
        <color rgb="FF638EC6"/>
      </dataBar>
    </cfRule>
    <cfRule type="dataBar" priority="2031">
      <dataBar>
        <cfvo type="min"/>
        <cfvo type="max"/>
        <color rgb="FF638EC6"/>
      </dataBar>
    </cfRule>
    <cfRule type="dataBar" priority="2032">
      <dataBar>
        <cfvo type="min"/>
        <cfvo type="max"/>
        <color rgb="FF638EC6"/>
      </dataBar>
    </cfRule>
    <cfRule type="dataBar" priority="2033">
      <dataBar>
        <cfvo type="min"/>
        <cfvo type="max"/>
        <color rgb="FF638EC6"/>
      </dataBar>
    </cfRule>
    <cfRule type="dataBar" priority="2034">
      <dataBar>
        <cfvo type="min"/>
        <cfvo type="max"/>
        <color rgb="FF638EC6"/>
      </dataBar>
    </cfRule>
    <cfRule type="dataBar" priority="2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{F780F8EF-0E2F-4AAF-AB60-A703461729EC}</x14:id>
        </ext>
      </extLst>
    </cfRule>
    <cfRule type="dataBar" priority="20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{C1A1BF73-AE1C-4C99-A34F-A6861E33C5A8}</x14:id>
        </ext>
      </extLst>
    </cfRule>
    <cfRule type="dataBar" priority="2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{33CA42FD-28C1-4063-8A01-818A291FB517}</x14:id>
        </ext>
      </extLst>
    </cfRule>
    <cfRule type="dataBar" priority="2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{92BD6A77-F9B5-4BD9-BF76-B611F74195A9}</x14:id>
        </ext>
      </extLst>
    </cfRule>
    <cfRule type="dataBar" priority="2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{9404A54E-502B-48C4-8F69-549611ACB203}</x14:id>
        </ext>
      </extLst>
    </cfRule>
    <cfRule type="dataBar" priority="2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{78584B57-D839-4558-ADB9-CBD973470177}</x14:id>
        </ext>
      </extLst>
    </cfRule>
    <cfRule type="dataBar" priority="2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{6E40422D-1A15-426D-BDFE-0516D461C86C}</x14:id>
        </ext>
      </extLst>
    </cfRule>
    <cfRule type="dataBar" priority="2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{B7DA7C10-6025-4F36-B4F4-87FD4E1C4663}</x14:id>
        </ext>
      </extLst>
    </cfRule>
  </conditionalFormatting>
  <conditionalFormatting sqref="C33">
    <cfRule type="dataBar" priority="1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{E12ECE98-663D-4F48-8724-25A7589393ED}</x14:id>
        </ext>
      </extLst>
    </cfRule>
    <cfRule type="dataBar" priority="1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{70402754-02C9-41D5-BB36-D98A879B9A14}</x14:id>
        </ext>
      </extLst>
    </cfRule>
    <cfRule type="dataBar" priority="1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{9E64FD85-13BC-45C5-A6F5-47285C0D4F4E}</x14:id>
        </ext>
      </extLst>
    </cfRule>
    <cfRule type="dataBar" priority="1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{FEB3BBE5-2403-463C-A2D2-A22D917131B1}</x14:id>
        </ext>
      </extLst>
    </cfRule>
    <cfRule type="dataBar" priority="1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{F7583DBB-F203-4BCB-A180-32CCBC024A3D}</x14:id>
        </ext>
      </extLst>
    </cfRule>
    <cfRule type="dataBar" priority="1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{D7BD3B8B-D6DB-4A9F-8CB2-DB5EB6C3EF70}</x14:id>
        </ext>
      </extLst>
    </cfRule>
    <cfRule type="dataBar" priority="1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{54399F93-C0FC-4ECC-9C8E-2E4A8A55E2B3}</x14:id>
        </ext>
      </extLst>
    </cfRule>
    <cfRule type="dataBar" priority="1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{6228D397-1BF6-4240-BB29-E8E34BCD1F33}</x14:id>
        </ext>
      </extLst>
    </cfRule>
    <cfRule type="dataBar" priority="1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{BA138814-D1AF-491C-B263-B207BDBF42AC}</x14:id>
        </ext>
      </extLst>
    </cfRule>
    <cfRule type="dataBar" priority="1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{E77E437A-A799-4324-884B-61764865288E}</x14:id>
        </ext>
      </extLst>
    </cfRule>
    <cfRule type="dataBar" priority="19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{90B37855-94FD-4B6C-8581-2241D469944E}</x14:id>
        </ext>
      </extLst>
    </cfRule>
    <cfRule type="dataBar" priority="1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{13730264-F83E-4207-8AE0-3BD6A9D7B728}</x14:id>
        </ext>
      </extLst>
    </cfRule>
    <cfRule type="dataBar" priority="19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{54CAC573-D65A-4776-9671-37E0D32B247F}</x14:id>
        </ext>
      </extLst>
    </cfRule>
    <cfRule type="dataBar" priority="1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{EE3134DD-E587-4D8D-8DBF-BF8D268DC264}</x14:id>
        </ext>
      </extLst>
    </cfRule>
    <cfRule type="dataBar" priority="19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{6673486C-FF33-4969-981D-5172548AB719}</x14:id>
        </ext>
      </extLst>
    </cfRule>
    <cfRule type="dataBar" priority="19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{06BAFBFB-35ED-4125-9605-0B4B626255E3}</x14:id>
        </ext>
      </extLst>
    </cfRule>
    <cfRule type="dataBar" priority="1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{E0DFCAE9-0A42-4962-9DE3-73E057FEF9D7}</x14:id>
        </ext>
      </extLst>
    </cfRule>
    <cfRule type="dataBar" priority="1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{9474EFD5-601A-4BBF-B674-160E90CE706D}</x14:id>
        </ext>
      </extLst>
    </cfRule>
    <cfRule type="dataBar" priority="1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{27F42ADD-1900-4B0B-B3C2-352D4879F200}</x14:id>
        </ext>
      </extLst>
    </cfRule>
    <cfRule type="dataBar" priority="1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{ABE24121-96ED-4DC1-8D10-6E7BC1ECF30D}</x14:id>
        </ext>
      </extLst>
    </cfRule>
    <cfRule type="dataBar" priority="1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{A650FBEE-76F3-465E-98A4-1AFF633B0EC0}</x14:id>
        </ext>
      </extLst>
    </cfRule>
    <cfRule type="dataBar" priority="1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{E35DA596-DB4B-4667-8DEB-8ACE49D18FF5}</x14:id>
        </ext>
      </extLst>
    </cfRule>
    <cfRule type="dataBar" priority="1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{EAF8EDCD-5A70-4220-ACAE-51C742873E3B}</x14:id>
        </ext>
      </extLst>
    </cfRule>
    <cfRule type="dataBar" priority="1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{60D0E384-9105-4602-978F-C93259EBCAE4}</x14:id>
        </ext>
      </extLst>
    </cfRule>
    <cfRule type="dataBar" priority="1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{3C64AD62-3ECF-4FE1-AE7F-6AD45573806D}</x14:id>
        </ext>
      </extLst>
    </cfRule>
    <cfRule type="dataBar" priority="1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{0CE6F19A-3AC8-483C-AD55-BA4FFCCBD200}</x14:id>
        </ext>
      </extLst>
    </cfRule>
    <cfRule type="dataBar" priority="1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{D80FF53F-BA93-420A-9299-9BBF4CE1CF6B}</x14:id>
        </ext>
      </extLst>
    </cfRule>
    <cfRule type="dataBar" priority="1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{474A84D4-DE63-4530-B969-D918AE6D40E4}</x14:id>
        </ext>
      </extLst>
    </cfRule>
    <cfRule type="dataBar" priority="1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{A6850A6F-29F2-4125-A38E-3DAE4A179621}</x14:id>
        </ext>
      </extLst>
    </cfRule>
    <cfRule type="dataBar" priority="1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{0ED269E5-CB1E-4A1F-AC8B-1740E5095325}</x14:id>
        </ext>
      </extLst>
    </cfRule>
    <cfRule type="dataBar" priority="1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{ED15053A-129D-439F-956E-EE254D5B5369}</x14:id>
        </ext>
      </extLst>
    </cfRule>
    <cfRule type="dataBar" priority="1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{20220E84-C678-429E-B775-EFE9C30074CF}</x14:id>
        </ext>
      </extLst>
    </cfRule>
    <cfRule type="dataBar" priority="19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{EA78D8AF-3939-4577-AB93-77B7244EAA06}</x14:id>
        </ext>
      </extLst>
    </cfRule>
    <cfRule type="dataBar" priority="1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{30411B68-B391-41DF-A7E6-6303DBC0B148}</x14:id>
        </ext>
      </extLst>
    </cfRule>
    <cfRule type="dataBar" priority="19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{7DFFB377-B162-45B2-B24B-AC0A86E9EC0C}</x14:id>
        </ext>
      </extLst>
    </cfRule>
    <cfRule type="dataBar" priority="1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{1B2E002A-F2F9-4696-9EB8-6C1E7D3ADF98}</x14:id>
        </ext>
      </extLst>
    </cfRule>
    <cfRule type="dataBar" priority="1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{0A0E4E04-50E6-48A7-93E7-921ED93A30BE}</x14:id>
        </ext>
      </extLst>
    </cfRule>
    <cfRule type="dataBar" priority="1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{B4128CD2-F257-4C2D-9F4D-AE2FEEEB0A78}</x14:id>
        </ext>
      </extLst>
    </cfRule>
    <cfRule type="dataBar" priority="1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{F18884E8-3375-485C-BE6D-EDEBC622BA78}</x14:id>
        </ext>
      </extLst>
    </cfRule>
    <cfRule type="dataBar" priority="1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{CFAF95CC-1C70-44B1-9EF4-9C0E43E2017E}</x14:id>
        </ext>
      </extLst>
    </cfRule>
    <cfRule type="dataBar" priority="1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{190BCF4A-D509-4EEF-A1A6-5DA24F3E012A}</x14:id>
        </ext>
      </extLst>
    </cfRule>
    <cfRule type="dataBar" priority="1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{2379F5B1-4FB6-42F3-B36C-0698B5E0591E}</x14:id>
        </ext>
      </extLst>
    </cfRule>
    <cfRule type="dataBar" priority="1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{E7C7752E-C170-4446-A8A8-7B1AB64B4C86}</x14:id>
        </ext>
      </extLst>
    </cfRule>
    <cfRule type="dataBar" priority="19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{37105A73-49A7-4CF5-AEBE-3494D3045F51}</x14:id>
        </ext>
      </extLst>
    </cfRule>
    <cfRule type="dataBar" priority="19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{B0CB28A5-8959-4253-8DD8-AEF6AAF4B4DA}</x14:id>
        </ext>
      </extLst>
    </cfRule>
    <cfRule type="dataBar" priority="19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{25196AE3-2D61-4E36-A7D1-3B43B5835162}</x14:id>
        </ext>
      </extLst>
    </cfRule>
    <cfRule type="dataBar" priority="1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{2CB1949E-DAE5-4C6A-96E6-7FC7162CFC2B}</x14:id>
        </ext>
      </extLst>
    </cfRule>
    <cfRule type="dataBar" priority="1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{8EF43E34-7508-424E-8A30-D2A15282F60C}</x14:id>
        </ext>
      </extLst>
    </cfRule>
    <cfRule type="dataBar" priority="1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{BDC8DB34-B3A8-4EA1-A936-AC89F514FC69}</x14:id>
        </ext>
      </extLst>
    </cfRule>
    <cfRule type="dataBar" priority="19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{599CF294-FE6D-4A44-A8C2-3DFE64040701}</x14:id>
        </ext>
      </extLst>
    </cfRule>
    <cfRule type="dataBar" priority="1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{35174A3E-5B58-4B67-8F3D-D383595D5FB6}</x14:id>
        </ext>
      </extLst>
    </cfRule>
    <cfRule type="dataBar" priority="1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{3A742243-0866-46AE-96B7-E732CE431AD7}</x14:id>
        </ext>
      </extLst>
    </cfRule>
    <cfRule type="dataBar" priority="1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{96619878-D4B3-4E17-9D10-7E690C04D3DE}</x14:id>
        </ext>
      </extLst>
    </cfRule>
    <cfRule type="dataBar" priority="19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{BF31D637-E892-4341-9BE4-B73A7F11E4AF}</x14:id>
        </ext>
      </extLst>
    </cfRule>
    <cfRule type="dataBar" priority="1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{C9D61737-EF1F-4AD8-BD1C-1214C6614A91}</x14:id>
        </ext>
      </extLst>
    </cfRule>
    <cfRule type="dataBar" priority="1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{353168CB-81C6-4DEC-BE7B-FBC1C11B680C}</x14:id>
        </ext>
      </extLst>
    </cfRule>
    <cfRule type="dataBar" priority="1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{1EBC537B-AC3A-4A05-8B3F-C43BD10AA20D}</x14:id>
        </ext>
      </extLst>
    </cfRule>
    <cfRule type="dataBar" priority="1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{3CD08A6B-77A0-4296-B2A8-67A2C704C5C0}</x14:id>
        </ext>
      </extLst>
    </cfRule>
    <cfRule type="dataBar" priority="1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{7DA7CD5A-F509-464B-9FE4-3FBE81E72091}</x14:id>
        </ext>
      </extLst>
    </cfRule>
    <cfRule type="dataBar" priority="1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{114D1DFE-4197-4DBB-9635-A899E24B484D}</x14:id>
        </ext>
      </extLst>
    </cfRule>
    <cfRule type="dataBar" priority="1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{AE36FE1C-ECB8-48C3-925F-F42DCD54DDD9}</x14:id>
        </ext>
      </extLst>
    </cfRule>
    <cfRule type="dataBar" priority="1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{572F6674-9E23-44D3-A01A-5E61F361E49A}</x14:id>
        </ext>
      </extLst>
    </cfRule>
    <cfRule type="dataBar" priority="1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{2278A5F4-7CFF-474E-8E1F-97FF825D4B54}</x14:id>
        </ext>
      </extLst>
    </cfRule>
    <cfRule type="dataBar" priority="1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{3200397D-0B9E-44CC-A5C0-362F75E11387}</x14:id>
        </ext>
      </extLst>
    </cfRule>
    <cfRule type="dataBar" priority="1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{DAF53F19-DCE5-4534-AA45-0F850CEB7142}</x14:id>
        </ext>
      </extLst>
    </cfRule>
    <cfRule type="dataBar" priority="1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{CC63CE0A-6432-4193-A067-A38E3FE0A584}</x14:id>
        </ext>
      </extLst>
    </cfRule>
    <cfRule type="dataBar" priority="1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{4B936E8A-56CC-4EA1-99EE-64F7F7C694D4}</x14:id>
        </ext>
      </extLst>
    </cfRule>
    <cfRule type="dataBar" priority="1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{C2A73A14-E160-4618-BF50-E75772628B24}</x14:id>
        </ext>
      </extLst>
    </cfRule>
    <cfRule type="dataBar" priority="1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{6EF3D067-1D98-483E-BEC5-A52A660EF0CE}</x14:id>
        </ext>
      </extLst>
    </cfRule>
    <cfRule type="dataBar" priority="1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{6A7170F3-6E34-4C4D-B068-59969B69F296}</x14:id>
        </ext>
      </extLst>
    </cfRule>
    <cfRule type="dataBar" priority="19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{8FFC2367-2F29-43D8-865D-14645D9B177B}</x14:id>
        </ext>
      </extLst>
    </cfRule>
    <cfRule type="dataBar" priority="1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{2D046B40-3A98-458F-BB52-11829E241A1F}</x14:id>
        </ext>
      </extLst>
    </cfRule>
    <cfRule type="dataBar" priority="1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{A36AB6C6-5E83-4268-9C8D-2008B9819A05}</x14:id>
        </ext>
      </extLst>
    </cfRule>
    <cfRule type="dataBar" priority="2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{B918CBCC-051C-4B60-8294-6D6359DF908B}</x14:id>
        </ext>
      </extLst>
    </cfRule>
  </conditionalFormatting>
  <conditionalFormatting sqref="C31">
    <cfRule type="dataBar" priority="1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{E9A0DF44-8C9C-43B1-8AE6-8D7AE380B54E}</x14:id>
        </ext>
      </extLst>
    </cfRule>
  </conditionalFormatting>
  <conditionalFormatting sqref="C34">
    <cfRule type="dataBar" priority="18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{B075E38C-C4FE-4CAC-852A-22FFA2C9D674}</x14:id>
        </ext>
      </extLst>
    </cfRule>
    <cfRule type="dataBar" priority="1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{A4560547-D1CC-4C32-B071-4069DA39E12A}</x14:id>
        </ext>
      </extLst>
    </cfRule>
    <cfRule type="dataBar" priority="18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{795AA717-78F0-402C-B8AE-E1168BD9D64D}</x14:id>
        </ext>
      </extLst>
    </cfRule>
    <cfRule type="dataBar" priority="1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{A6580580-FC7D-485E-A7F7-660C71C90378}</x14:id>
        </ext>
      </extLst>
    </cfRule>
    <cfRule type="dataBar" priority="1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{3B7E1384-75CA-479F-9D1F-009745CFD97F}</x14:id>
        </ext>
      </extLst>
    </cfRule>
    <cfRule type="dataBar" priority="18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{4D013204-9E8E-4371-8FEA-210763DB4848}</x14:id>
        </ext>
      </extLst>
    </cfRule>
    <cfRule type="dataBar" priority="1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{85FB1A18-36EF-465A-A389-A0156FD5A73E}</x14:id>
        </ext>
      </extLst>
    </cfRule>
    <cfRule type="dataBar" priority="1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{73A28DAA-019B-48D9-AACF-ED1EBBC04346}</x14:id>
        </ext>
      </extLst>
    </cfRule>
    <cfRule type="dataBar" priority="1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{7ECC3885-5156-4A28-945F-B72E82F2D8FA}</x14:id>
        </ext>
      </extLst>
    </cfRule>
    <cfRule type="dataBar" priority="1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{5268A297-2F64-4117-B4DE-3EAEB91FF024}</x14:id>
        </ext>
      </extLst>
    </cfRule>
    <cfRule type="dataBar" priority="1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{972FEB7D-ACE3-4712-97B1-8C327591DB2E}</x14:id>
        </ext>
      </extLst>
    </cfRule>
    <cfRule type="dataBar" priority="1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{EBDA07DC-6F2F-4503-AE82-FEB04A8D1CAB}</x14:id>
        </ext>
      </extLst>
    </cfRule>
    <cfRule type="dataBar" priority="1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{BD837416-8970-4E9E-A80B-0266D12FA761}</x14:id>
        </ext>
      </extLst>
    </cfRule>
    <cfRule type="dataBar" priority="1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{CFB6F23F-ADC7-48B0-8B14-404F6B59FA87}</x14:id>
        </ext>
      </extLst>
    </cfRule>
    <cfRule type="dataBar" priority="1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{8C4188FB-1983-4433-AA13-C719717DD97E}</x14:id>
        </ext>
      </extLst>
    </cfRule>
    <cfRule type="dataBar" priority="1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{258B7EBE-018C-41AA-96B4-71728700E4CD}</x14:id>
        </ext>
      </extLst>
    </cfRule>
    <cfRule type="dataBar" priority="1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{3ED4D521-7B1D-4406-8DED-55F379F2C0C5}</x14:id>
        </ext>
      </extLst>
    </cfRule>
    <cfRule type="dataBar" priority="1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{7C5E7DDC-4254-4091-8CEC-FFC9DF7EFE34}</x14:id>
        </ext>
      </extLst>
    </cfRule>
    <cfRule type="dataBar" priority="1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{5E4B04E9-6F55-40B7-ABAF-42AFD87161E8}</x14:id>
        </ext>
      </extLst>
    </cfRule>
    <cfRule type="dataBar" priority="18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{77C27ACB-FB3A-4949-BEA9-625DF8D3EFFB}</x14:id>
        </ext>
      </extLst>
    </cfRule>
    <cfRule type="dataBar" priority="1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{A18AE625-A526-4385-86C0-D465929DC825}</x14:id>
        </ext>
      </extLst>
    </cfRule>
    <cfRule type="dataBar" priority="1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{1B3A6435-5FB6-4F58-9555-714EEA27F9B1}</x14:id>
        </ext>
      </extLst>
    </cfRule>
    <cfRule type="dataBar" priority="1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{6BF261D2-38B4-4791-9E52-3D68E301A530}</x14:id>
        </ext>
      </extLst>
    </cfRule>
    <cfRule type="dataBar" priority="1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{CBB511C6-18AB-45D1-9B03-4B7F143E0A07}</x14:id>
        </ext>
      </extLst>
    </cfRule>
    <cfRule type="dataBar" priority="1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{81A6C4CB-5A23-470E-8956-1EF567038391}</x14:id>
        </ext>
      </extLst>
    </cfRule>
    <cfRule type="dataBar" priority="1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{4B4DA9B5-49CF-4D02-BC7A-EAD9EFB037F1}</x14:id>
        </ext>
      </extLst>
    </cfRule>
    <cfRule type="dataBar" priority="1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{6592046D-6DE2-4593-B931-F04747AD7F59}</x14:id>
        </ext>
      </extLst>
    </cfRule>
    <cfRule type="dataBar" priority="1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{BB77A374-69C7-475E-BF05-0D7E134B0FFD}</x14:id>
        </ext>
      </extLst>
    </cfRule>
    <cfRule type="dataBar" priority="1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{AFFD8DD0-E83E-47C8-9E97-80BF1F8FDA2A}</x14:id>
        </ext>
      </extLst>
    </cfRule>
    <cfRule type="dataBar" priority="1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{059443B8-1262-4A88-BF74-A2862D0ABE96}</x14:id>
        </ext>
      </extLst>
    </cfRule>
    <cfRule type="dataBar" priority="1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{C05DFD90-44EA-4253-AE2D-7F8B1C1CA395}</x14:id>
        </ext>
      </extLst>
    </cfRule>
    <cfRule type="dataBar" priority="1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{A90698AD-6EF5-43AA-A31F-414E625CA657}</x14:id>
        </ext>
      </extLst>
    </cfRule>
    <cfRule type="dataBar" priority="1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{2098BBC5-E0EA-4B83-AD49-A06862604003}</x14:id>
        </ext>
      </extLst>
    </cfRule>
    <cfRule type="dataBar" priority="1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{57949DDC-8B2D-4F5E-8BDB-D45DD11E775F}</x14:id>
        </ext>
      </extLst>
    </cfRule>
    <cfRule type="dataBar" priority="1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{1BD984DD-7B85-4366-B2C5-B8A4D80861A3}</x14:id>
        </ext>
      </extLst>
    </cfRule>
    <cfRule type="dataBar" priority="18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{28E98CFF-1407-445C-A739-2AD438A354AC}</x14:id>
        </ext>
      </extLst>
    </cfRule>
    <cfRule type="dataBar" priority="1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{437E5447-8C45-4DC2-A7B3-986F79FE9932}</x14:id>
        </ext>
      </extLst>
    </cfRule>
    <cfRule type="dataBar" priority="1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{9BDAC33B-8048-4604-8832-3BCF8BFF9794}</x14:id>
        </ext>
      </extLst>
    </cfRule>
    <cfRule type="dataBar" priority="1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{43692190-5251-4310-BE52-596D352FAF9F}</x14:id>
        </ext>
      </extLst>
    </cfRule>
    <cfRule type="dataBar" priority="18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{5A244ACD-EEA6-4B14-BF9E-E8ABA13A5EC7}</x14:id>
        </ext>
      </extLst>
    </cfRule>
    <cfRule type="dataBar" priority="18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{59086AB9-29DE-450E-B4D4-384CCAC32D0D}</x14:id>
        </ext>
      </extLst>
    </cfRule>
    <cfRule type="dataBar" priority="1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{E46CBC74-3BD8-414A-B908-1B10597BA429}</x14:id>
        </ext>
      </extLst>
    </cfRule>
    <cfRule type="dataBar" priority="1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{B256D9A0-5AB2-4F65-A858-D9F5655719BA}</x14:id>
        </ext>
      </extLst>
    </cfRule>
    <cfRule type="dataBar" priority="1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{EAC927BB-D4F1-47BA-B5DD-9E8809943729}</x14:id>
        </ext>
      </extLst>
    </cfRule>
    <cfRule type="dataBar" priority="1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{60B2E71D-C45C-4360-8F31-8C5CBF9DF266}</x14:id>
        </ext>
      </extLst>
    </cfRule>
    <cfRule type="dataBar" priority="1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{51DC06DE-D1AB-4F78-81AB-01BA730BD10D}</x14:id>
        </ext>
      </extLst>
    </cfRule>
    <cfRule type="dataBar" priority="1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{7A03453D-ACA3-4FD7-A225-307C41870CA4}</x14:id>
        </ext>
      </extLst>
    </cfRule>
    <cfRule type="dataBar" priority="1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{63CA42BB-8F68-4942-8A03-1FEB0D5C5D84}</x14:id>
        </ext>
      </extLst>
    </cfRule>
    <cfRule type="dataBar" priority="1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{F8458D81-31D2-4F7B-892A-FA012DCC1169}</x14:id>
        </ext>
      </extLst>
    </cfRule>
    <cfRule type="dataBar" priority="1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{F59B20C2-DB19-4CB5-AAA3-ABD974D55ABA}</x14:id>
        </ext>
      </extLst>
    </cfRule>
    <cfRule type="dataBar" priority="1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{913B139A-D73C-44CA-BB64-AE1AE816A8C0}</x14:id>
        </ext>
      </extLst>
    </cfRule>
    <cfRule type="dataBar" priority="1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{533639BF-7DB2-446C-92A0-41F12B743848}</x14:id>
        </ext>
      </extLst>
    </cfRule>
    <cfRule type="dataBar" priority="1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{687B3658-7B3C-4E60-BA9B-B3DA593E598B}</x14:id>
        </ext>
      </extLst>
    </cfRule>
    <cfRule type="dataBar" priority="1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{1460898B-60FB-4044-8ED8-7D57525A340D}</x14:id>
        </ext>
      </extLst>
    </cfRule>
    <cfRule type="dataBar" priority="19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{2DDBB74C-FAAF-4E7A-AF5B-CC757D2FBFC0}</x14:id>
        </ext>
      </extLst>
    </cfRule>
    <cfRule type="dataBar" priority="19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{925EDE06-524A-4A29-A39A-B27B297F88DA}</x14:id>
        </ext>
      </extLst>
    </cfRule>
    <cfRule type="dataBar" priority="1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{9857A068-E98F-424F-BC98-32FACE5669B0}</x14:id>
        </ext>
      </extLst>
    </cfRule>
    <cfRule type="dataBar" priority="19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{D0BBF7F7-BDFD-436F-B019-F52D09F8FF72}</x14:id>
        </ext>
      </extLst>
    </cfRule>
    <cfRule type="dataBar" priority="1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{FD09DA39-B9A7-41CE-9C35-F8840D9869A6}</x14:id>
        </ext>
      </extLst>
    </cfRule>
    <cfRule type="dataBar" priority="1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{26F95FA2-59F6-40B3-A0CC-9999E49A8094}</x14:id>
        </ext>
      </extLst>
    </cfRule>
    <cfRule type="dataBar" priority="1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{918CDFF7-89EC-4BFA-9464-4FA93320D97B}</x14:id>
        </ext>
      </extLst>
    </cfRule>
    <cfRule type="dataBar" priority="1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{BB382F1C-42B5-432C-95BD-4ABCD97B3D06}</x14:id>
        </ext>
      </extLst>
    </cfRule>
    <cfRule type="dataBar" priority="1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{F50379FC-7882-497F-9006-6F1438802686}</x14:id>
        </ext>
      </extLst>
    </cfRule>
    <cfRule type="dataBar" priority="1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{2DA146BE-3EC0-406A-8674-3F3DDC9BFA8C}</x14:id>
        </ext>
      </extLst>
    </cfRule>
    <cfRule type="dataBar" priority="1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{D362F84E-72EE-401C-A8C0-CA8D334FBB1E}</x14:id>
        </ext>
      </extLst>
    </cfRule>
    <cfRule type="dataBar" priority="1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{AD93C0FD-0942-4754-9E83-77CB48944750}</x14:id>
        </ext>
      </extLst>
    </cfRule>
    <cfRule type="dataBar" priority="1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{8D439490-7A84-4390-AA2D-70A5278EFF59}</x14:id>
        </ext>
      </extLst>
    </cfRule>
    <cfRule type="dataBar" priority="1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{787E2CA5-4027-4C7E-B262-C031E4B4A351}</x14:id>
        </ext>
      </extLst>
    </cfRule>
    <cfRule type="dataBar" priority="1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{F3B426BE-D249-47FB-A1B6-BFAD2420D60D}</x14:id>
        </ext>
      </extLst>
    </cfRule>
    <cfRule type="dataBar" priority="1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{45603365-3BE4-49AB-B1E8-C065355FBA6B}</x14:id>
        </ext>
      </extLst>
    </cfRule>
    <cfRule type="dataBar" priority="1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{95EB598F-3557-4E88-A191-A70CB9C94259}</x14:id>
        </ext>
      </extLst>
    </cfRule>
    <cfRule type="dataBar" priority="1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{6637912C-51F7-4BD9-AB94-E83F7D65CF86}</x14:id>
        </ext>
      </extLst>
    </cfRule>
    <cfRule type="dataBar" priority="19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{4BF95ABF-8DEE-4522-8B15-0A07AEC5A29F}</x14:id>
        </ext>
      </extLst>
    </cfRule>
    <cfRule type="dataBar" priority="1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{6A1C59AF-56EB-45F7-9129-C3C6B0F3DEFC}</x14:id>
        </ext>
      </extLst>
    </cfRule>
  </conditionalFormatting>
  <conditionalFormatting sqref="C11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{55331349-F31B-430A-A0C1-6A82C9BF4D8B}</x14:id>
        </ext>
      </extLst>
    </cfRule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{6F6529F4-B610-4C37-A1AA-F16C79E7E1EE}</x14:id>
        </ext>
      </extLst>
    </cfRule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{E60CA5D0-E95C-44F2-9EB0-AE2EC6ED153A}</x14:id>
        </ext>
      </extLst>
    </cfRule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{379D051C-FF09-41AE-8734-130905AE1294}</x14:id>
        </ext>
      </extLst>
    </cfRule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{AA686B1D-A043-47E7-BE71-10466E550FD1}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{23CF76DB-2796-4652-B81E-787C190C6E20}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{5CD47F7A-F7A7-426A-83A3-48DFAD5C68F2}</x14:id>
        </ext>
      </extLst>
    </cfRule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{031D75CD-AD44-47BB-90FB-A690A5F6EE40}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{4CDD744D-3E6C-4011-873F-D7F14BF7A399}</x14:id>
        </ext>
      </extLst>
    </cfRule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{B4B42368-6533-44E9-9D8C-2A6DB7633F27}</x14:id>
        </ext>
      </extLst>
    </cfRule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{3AA5D1D6-4839-4B2E-B092-EF4083FC1C8E}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{F5A65EB2-599D-4530-9FF2-D735E484BF01}</x14:id>
        </ext>
      </extLst>
    </cfRule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{2BBC6416-3023-4FA9-8602-B4FD3725CD47}</x14:id>
        </ext>
      </extLst>
    </cfRule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{1ACB5FAA-D3CD-480B-8934-7323C60FC907}</x14:id>
        </ext>
      </extLst>
    </cfRule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{887187FA-1A4C-4B2B-8313-E774B2AB64FF}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{9F022591-F6A7-479E-895E-9613C8D3EB1F}</x14:id>
        </ext>
      </extLst>
    </cfRule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{53E193A8-268D-4007-80C3-823BDC8B7F71}</x14:id>
        </ext>
      </extLst>
    </cfRule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{1B9F99F2-2191-48F8-91C5-9B2F0096D06F}</x14:id>
        </ext>
      </extLst>
    </cfRule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{C86EED7E-E590-460A-A014-2198F1B89E83}</x14:id>
        </ext>
      </extLst>
    </cfRule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{B4D92CCD-DC61-4371-9DB8-58E37CB1BC4A}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{B11E4809-E1DE-458E-BDFA-91F5855E21A1}</x14:id>
        </ext>
      </extLst>
    </cfRule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{89E3B834-CF84-42A0-96D6-657918371396}</x14:id>
        </ext>
      </extLst>
    </cfRule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{09B05326-F62D-4D3C-AB4D-B22802542AD2}</x14:id>
        </ext>
      </extLst>
    </cfRule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{52A2EF31-06B8-4689-A670-D8C06B2C3E9B}</x14:id>
        </ext>
      </extLst>
    </cfRule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{6E86DCCD-4973-4B3B-81C8-F404A7B32037}</x14:id>
        </ext>
      </extLst>
    </cfRule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{0AC796BB-D1FC-4191-8F00-07AF65C47391}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{247C0742-49AC-4C69-B6C7-EFFBA7032FDA}</x14:id>
        </ext>
      </extLst>
    </cfRule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{34074FF3-F38C-478E-8879-CB7A3FC16F26}</x14:id>
        </ext>
      </extLst>
    </cfRule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{64822ED2-8800-40B4-AA1F-696EE978C5B1}</x14:id>
        </ext>
      </extLst>
    </cfRule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{C72120E1-CBFD-4368-BC69-51DC47CEBAC3}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{D84535AB-309A-4634-AC45-9F3A74F481A0}</x14:id>
        </ext>
      </extLst>
    </cfRule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{B2BFB522-91CE-4ACC-80A8-FE0C9825BB96}</x14:id>
        </ext>
      </extLst>
    </cfRule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{4F299BFC-F37B-4C75-91AD-A0C0FFA2E2BF}</x14:id>
        </ext>
      </extLst>
    </cfRule>
    <cfRule type="dataBar" priority="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{0CF5029A-CC26-4B35-956D-9ECD7D62BAF3}</x14:id>
        </ext>
      </extLst>
    </cfRule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{51F947A9-58B2-413A-9B51-09CC57CA6E5F}</x14:id>
        </ext>
      </extLst>
    </cfRule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{7C74FCFD-9203-4E92-A11C-750CA1A51EFB}</x14:id>
        </ext>
      </extLst>
    </cfRule>
    <cfRule type="dataBar" priority="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{DC6A9D8D-EF20-4437-9217-E619397DBF96}</x14:id>
        </ext>
      </extLst>
    </cfRule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{6B01BFB2-1255-4726-B59B-E3192543948C}</x14:id>
        </ext>
      </extLst>
    </cfRule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{7B4267E9-2A3B-4B47-9C57-9753A961ED90}</x14:id>
        </ext>
      </extLst>
    </cfRule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{8AFA3806-455A-400C-BB77-556C4F619940}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{B3F99368-9122-45EC-BD6C-5C629B168C18}</x14:id>
        </ext>
      </extLst>
    </cfRule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{8CAB6BAB-B524-4A6B-9279-8E54AF738025}</x14:id>
        </ext>
      </extLst>
    </cfRule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{B7DD48D8-19D1-42D6-A905-88271EF9EBB9}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{6917E5AC-CF85-47FE-BE22-4A109C8BE511}</x14:id>
        </ext>
      </extLst>
    </cfRule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{12FA0148-6B2C-430E-B57B-A6ACABD2E3A2}</x14:id>
        </ext>
      </extLst>
    </cfRule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{34890D33-8078-4768-83CE-3BE893ECF332}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{D273A741-51A5-42F8-BDC2-547DA50F4D68}</x14:id>
        </ext>
      </extLst>
    </cfRule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{499AF186-8595-4260-AAE2-42538878935C}</x14:id>
        </ext>
      </extLst>
    </cfRule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{F3401F5D-94B2-4716-9272-ECABAE3955AF}</x14:id>
        </ext>
      </extLst>
    </cfRule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{7E89C245-8229-4299-9A41-FC74319B1049}</x14:id>
        </ext>
      </extLst>
    </cfRule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{2A6CA661-762C-4D14-B290-DEC4C0AA6441}</x14:id>
        </ext>
      </extLst>
    </cfRule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{132C14BB-AF51-4D75-B538-86015377D29B}</x14:id>
        </ext>
      </extLst>
    </cfRule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{DEF19277-56CD-4788-ABA9-5C1BFAA9B121}</x14:id>
        </ext>
      </extLst>
    </cfRule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{1C3B2297-80BE-448E-883E-61433BD83FA2}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{E02143CF-DA30-4599-BA25-BCC5B09214DA}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{A4DEBF71-99EF-43E9-9D11-F47878CC794A}</x14:id>
        </ext>
      </extLst>
    </cfRule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{65EB90F6-00A6-4336-8EB0-46F7E43A4B00}</x14:id>
        </ext>
      </extLst>
    </cfRule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{2455D038-487B-4C5B-9409-1164A490BBCC}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{6FC182CF-31B5-404A-A4C2-DCCA9E7BBED2}</x14:id>
        </ext>
      </extLst>
    </cfRule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{4D795AC6-BA42-453C-95F2-67F5E58CAA2E}</x14:id>
        </ext>
      </extLst>
    </cfRule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{9F2B8979-5F85-4627-8577-BE84560041C2}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{C6D88220-6224-4677-A416-3B2CFB1D091C}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{134AF64B-689F-4054-B026-249DDDBAFBA9}</x14:id>
        </ext>
      </extLst>
    </cfRule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{E6E47367-5672-46A3-8A23-C4658E1E200A}</x14:id>
        </ext>
      </extLst>
    </cfRule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{DC4367C0-52EE-40D4-A17B-DF7575BA088C}</x14:id>
        </ext>
      </extLst>
    </cfRule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{C7BAB33A-8BAD-44F9-AFB0-C67D5A17A413}</x14:id>
        </ext>
      </extLst>
    </cfRule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{55478849-A587-4BED-9F4B-68A8203817FD}</x14:id>
        </ext>
      </extLst>
    </cfRule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{F2CC3D38-63DF-4E53-87BE-F36E575DEE08}</x14:id>
        </ext>
      </extLst>
    </cfRule>
    <cfRule type="dataBar" priority="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{7DD36F5D-4C87-47F5-A31C-8CDF9D5BC595}</x14:id>
        </ext>
      </extLst>
    </cfRule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{01435817-9F89-423D-B480-C08D306D0E37}</x14:id>
        </ext>
      </extLst>
    </cfRule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{CC617053-184A-417C-ABA9-65BA7199FC91}</x14:id>
        </ext>
      </extLst>
    </cfRule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{314D828F-8DC6-482F-B525-9FFDDCB4B095}</x14:id>
        </ext>
      </extLst>
    </cfRule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{5E982271-724F-4871-A530-DEE5D75EF68C}</x14:id>
        </ext>
      </extLst>
    </cfRule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{3D6714B0-1120-4A6C-B08A-3E4D57D7C4B6}</x14:id>
        </ext>
      </extLst>
    </cfRule>
  </conditionalFormatting>
  <conditionalFormatting sqref="C11:C12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{2447A170-160C-4FC8-A0C3-780DF54D9BB2}</x14:id>
        </ext>
      </extLst>
    </cfRule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{B4A88432-CCFC-4022-946F-A80C300C18FF}</x14:id>
        </ext>
      </extLst>
    </cfRule>
  </conditionalFormatting>
  <conditionalFormatting sqref="C12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{D9065526-CFA3-4696-BF33-7E83599A51E4}</x14:id>
        </ext>
      </extLst>
    </cfRule>
  </conditionalFormatting>
  <conditionalFormatting sqref="C27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{83CB440E-15FE-42BA-A641-413EADDBAF6B}</x14:id>
        </ext>
      </extLst>
    </cfRule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{66E71FCD-C467-43A0-BD19-5F211A062CDE}</x14:id>
        </ext>
      </extLst>
    </cfRule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{5DDB77CA-35D5-4172-92E3-90C4812EE7E9}</x14:id>
        </ext>
      </extLst>
    </cfRule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{8EBC1B2E-77DE-4BCF-BD14-5A2E9124BD5E}</x14:id>
        </ext>
      </extLst>
    </cfRule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{053E3706-6008-4C91-AE30-C3B03A387289}</x14:id>
        </ext>
      </extLst>
    </cfRule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{E3B9A2F7-AB8E-452D-A66F-73C801ED2EFE}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{23A536DB-4CC4-4422-A8B4-A79805B1AACB}</x14:id>
        </ext>
      </extLst>
    </cfRule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{B25F2ADF-5ADF-4658-A2F3-5D2623C74972}</x14:id>
        </ext>
      </extLst>
    </cfRule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{98715615-C282-465D-966E-0E52918DBA42}</x14:id>
        </ext>
      </extLst>
    </cfRule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{BF732AE8-C5E9-4CC8-AF0F-AF32A534DD53}</x14:id>
        </ext>
      </extLst>
    </cfRule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{42A1080E-8A50-4EB2-A005-6173A280F7EA}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{85B81052-27CA-4E40-8C83-EA3BC28615AE}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{31E6A14A-144E-4CAF-854F-AD48EB200114}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{D38C55F9-2002-455F-97E0-27EF26775F76}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{0D67E40B-AF3F-418E-81FE-28D10472B74D}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{C166F15F-5DB3-4893-B0C2-D94C949B4F9E}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{B1910127-827F-4434-8971-5F4BBF891BD0}</x14:id>
        </ext>
      </extLst>
    </cfRule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{FCC39A42-6899-4A77-BAD6-C4A5921559E7}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{5D0DA022-BCFC-429B-AB4D-5998DEC13C07}</x14:id>
        </ext>
      </extLst>
    </cfRule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{DD18BF29-E7A4-426E-B487-B3BFCAB0811D}</x14:id>
        </ext>
      </extLst>
    </cfRule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{24D7934E-824B-4E37-8724-6901F99944FB}</x14:id>
        </ext>
      </extLst>
    </cfRule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{DB564C2B-6C38-4446-80CF-68CFD78A80A7}</x14:id>
        </ext>
      </extLst>
    </cfRule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{588CB28B-CB7A-4DE2-897F-4114A72BDA7B}</x14:id>
        </ext>
      </extLst>
    </cfRule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{27272F15-E1A3-43A9-83D5-8853EABCAD0B}</x14:id>
        </ext>
      </extLst>
    </cfRule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{5C8921C6-D148-4BC2-95BB-AB83EF9C96D3}</x14:id>
        </ext>
      </extLst>
    </cfRule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{A8399E64-7D43-409E-910B-6F3B58DC6585}</x14:id>
        </ext>
      </extLst>
    </cfRule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{C61B1655-6BB1-4BAE-93D2-CF8A53EE47B3}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{FE7E4D92-634C-4C91-B1BF-7A7C0B223757}</x14:id>
        </ext>
      </extLst>
    </cfRule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{85DD4708-E206-4FF9-95C1-1CF49C542F6D}</x14:id>
        </ext>
      </extLst>
    </cfRule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{1E67D761-3898-4449-A56F-C48DB9D2EF2B}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{9D8A437C-4EC0-4BD7-9BA7-DF808321B963}</x14:id>
        </ext>
      </extLst>
    </cfRule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{ACB64678-9D2E-4E78-971E-E039D737DF8D}</x14:id>
        </ext>
      </extLst>
    </cfRule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{BF2F54DE-779F-437F-9D4B-6732FD0BC0DC}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{527F59FC-9196-44E7-8892-3360F1E6B882}</x14:id>
        </ext>
      </extLst>
    </cfRule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{6C12CC42-CBE9-4F34-B005-91A55C45A3F0}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{788B43C2-FC65-4C18-A7B7-4A29A566BED6}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{B9C4F330-6F40-4CAA-BA96-70D4ED80A665}</x14:id>
        </ext>
      </extLst>
    </cfRule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{EA486464-D9C1-4793-8261-58F2B724CD91}</x14:id>
        </ext>
      </extLst>
    </cfRule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{8CF6B8C5-0BB1-46D2-81E8-A24F1AC1E888}</x14:id>
        </ext>
      </extLst>
    </cfRule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{DDBC1159-6D26-46A5-85B3-3E70D5CDD7D2}</x14:id>
        </ext>
      </extLst>
    </cfRule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{83235BB8-6656-4DDA-B6A0-1D45AB5E3EEE}</x14:id>
        </ext>
      </extLst>
    </cfRule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{6CBD938A-78F7-4216-BF34-8183132CE63E}</x14:id>
        </ext>
      </extLst>
    </cfRule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{5A7E574A-D155-430C-8E83-8BABE36C013D}</x14:id>
        </ext>
      </extLst>
    </cfRule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{BF622F01-B3C4-4954-A70D-AAD6941B084B}</x14:id>
        </ext>
      </extLst>
    </cfRule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{39C2319A-EB09-463C-9164-01281800BA13}</x14:id>
        </ext>
      </extLst>
    </cfRule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{DE075815-F0B5-45C5-AFFC-CEE820BF4F4B}</x14:id>
        </ext>
      </extLst>
    </cfRule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{E8A088DE-43F0-4F9D-96D8-347BB39095C9}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{EFCEE950-CA4B-4DCE-8FF8-BE11AE4B0EF9}</x14:id>
        </ext>
      </extLst>
    </cfRule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{BA40165C-4400-4684-8401-8EC1144FAEB0}</x14:id>
        </ext>
      </extLst>
    </cfRule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{5D75612E-E8D2-48F3-9CCC-FEDAB2283A3F}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{97777B6B-2BBA-4C05-A1C6-46BDF698659B}</x14:id>
        </ext>
      </extLst>
    </cfRule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{1D8FE7BA-6FDC-4B6F-A7EA-A3A0D406DBBE}</x14:id>
        </ext>
      </extLst>
    </cfRule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{26F20797-83D5-4B4C-B245-E2060DEDA6BB}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{E8CCC181-A827-4AA6-B4F3-453C556F06A4}</x14:id>
        </ext>
      </extLst>
    </cfRule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{79EAE831-B353-44B8-A290-F1626FDF7FAD}</x14:id>
        </ext>
      </extLst>
    </cfRule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{6B85C5E5-554C-45BA-8267-1BDDA239ED9A}</x14:id>
        </ext>
      </extLst>
    </cfRule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{B44C05AC-59D0-4497-9780-DC35D4CC7ED0}</x14:id>
        </ext>
      </extLst>
    </cfRule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{5AAF4828-8884-4FB1-ABEB-EFC9A75ED314}</x14:id>
        </ext>
      </extLst>
    </cfRule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{480FE2AA-52FF-4659-9CD4-E6F42F75D3AB}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{E1113806-3591-4E47-AED2-D551752E7E12}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{DA2CDE50-85EE-4CCF-9F4F-986BA1CC0278}</x14:id>
        </ext>
      </extLst>
    </cfRule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{FEB6A838-16AB-4FB1-B6C3-CD6991AD5F0D}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{733D2AE4-312C-4EFA-A380-282BDD33838C}</x14:id>
        </ext>
      </extLst>
    </cfRule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{DEA4739C-6881-4451-A410-78B93BA6A01A}</x14:id>
        </ext>
      </extLst>
    </cfRule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{2F22C021-FF18-4A51-93DA-C4A28F6B92A4}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{E06690CB-C124-4C2C-B8E1-97ECF2F69F2D}</x14:id>
        </ext>
      </extLst>
    </cfRule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{8294DEA0-3E7B-42B3-BA83-1903BC7934D2}</x14:id>
        </ext>
      </extLst>
    </cfRule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{8DCB729A-3DB3-4B3A-880D-A2EF09661ACA}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{8FDD0EA7-89EC-402D-9E19-104009572CED}</x14:id>
        </ext>
      </extLst>
    </cfRule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{96FEED17-9D22-4ADE-A83C-74061C2399A2}</x14:id>
        </ext>
      </extLst>
    </cfRule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{CE4674E0-BC09-4C1E-B44A-4C679A3EBAA5}</x14:id>
        </ext>
      </extLst>
    </cfRule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{4909B5A4-AA95-423E-B86A-A81A16151A27}</x14:id>
        </ext>
      </extLst>
    </cfRule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{307B91A3-9060-42FF-809C-0CB577CC8AEC}</x14:id>
        </ext>
      </extLst>
    </cfRule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{B0BC97CF-86A1-4D73-B4B5-0E6DB33F35AC}</x14:id>
        </ext>
      </extLst>
    </cfRule>
  </conditionalFormatting>
  <conditionalFormatting sqref="C27:C28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{A46D5248-156C-4B49-B452-D5B3510F1466}</x14:id>
        </ext>
      </extLst>
    </cfRule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{3DE1AFA9-6977-45D6-9032-0B23B94CF2BA}</x14:id>
        </ext>
      </extLst>
    </cfRule>
  </conditionalFormatting>
  <conditionalFormatting sqref="C28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{20AC9962-568B-427E-BA47-CE7C517FF8B9}</x14:id>
        </ext>
      </extLst>
    </cfRule>
  </conditionalFormatting>
  <conditionalFormatting sqref="C10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{B728A15C-1789-47D3-9F43-ABA8CDCA7E6C}</x14:id>
        </ext>
      </extLs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{9F5FA8E4-2586-4DFC-8482-B72FD72E1831}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{FD83CDC0-9047-4479-9120-6AB96F8C133F}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{15DB6D40-470D-4DA1-BCAE-472F9566A15D}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{2577D289-722D-4778-A399-BC9101A1D5DE}</x14:id>
        </ext>
      </extLst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{E6B2672E-9900-490C-91C3-4F0A1551797D}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{D33C359E-BAEB-4B9E-9FE8-8C2C61793850}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{CD852DB0-4656-4377-9AAE-8A515B509555}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{7726E8A9-E8D0-4FE2-BBD1-29B086953757}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{5B9B5E6D-BD93-4033-9673-08B741126524}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{B2A02F9D-69FA-44FC-A70C-A07E6771C74E}</x14:id>
        </ext>
      </extLs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{1B6F90EC-2404-4D49-ACDF-AB1A3D8F7527}</x14:id>
        </ext>
      </extLst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{C31C97DD-4718-4667-B005-E0B9FDD3963C}</x14:id>
        </ext>
      </extLst>
    </cfRule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{4209BD15-DAE2-43EB-AF10-4147E10E9981}</x14:id>
        </ext>
      </extLst>
    </cfRule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{144B8A78-0202-42A9-A56E-243E8B1ED817}</x14:id>
        </ext>
      </extLs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{5D2B708D-9D79-4B79-AE1E-C12C53DD14AB}</x14:id>
        </ext>
      </extLst>
    </cfRule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{307EAD5E-9687-4C67-B875-F5D1FB364119}</x14:id>
        </ext>
      </extLst>
    </cfRule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{B6B7CC2F-C3F1-4ED9-A9A8-F56BF2247A83}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{2D650397-73EA-45BB-938B-56F172891813}</x14:id>
        </ext>
      </extLst>
    </cfRule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{C119C54C-DB9A-4BB8-B72A-47B8F4C96849}</x14:id>
        </ext>
      </extLst>
    </cfRule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{E746DD60-1D97-4ACF-B003-9478805D2627}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{EE30DD88-B107-46FF-8B1E-D867C0E1479B}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{303F4A89-A3C9-4455-B612-9D1335C1C7DE}</x14:id>
        </ext>
      </extLst>
    </cfRule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{46970A4A-4C26-4E74-BFF8-E55CE1ED8F07}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{EC7D7BD6-C0CD-4220-8BB0-CD94B883D634}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{E0FB3394-7A17-43A9-A0BC-69D77DC1AE09}</x14:id>
        </ext>
      </extLst>
    </cfRule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{F2F11FA4-4ECF-4B79-8D89-4834221C1A61}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{3208BF13-B123-485F-8956-3A5E05105F4F}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{CACD3845-9EF4-4DC6-A0EC-4DC72FA71BB1}</x14:id>
        </ext>
      </extLst>
    </cfRule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{F152EB8D-B72E-44DA-88ED-28BACDE5FB6A}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{12D4EF25-BA98-432D-B08D-8BF237157676}</x14:id>
        </ext>
      </extLst>
    </cfRule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{09F50B91-1950-4582-9563-AFAD260AB02F}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{E92585A8-DA06-4103-97C3-10823572A2A2}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{F8C12299-ED8F-47E5-AB35-3335E654DBAB}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{E7BC62A9-8887-44B7-A3B5-179BB4342076}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{CC22BC99-850E-4FB9-AB21-583B9D04F872}</x14:id>
        </ext>
      </extLst>
    </cfRule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{3770FA2E-E49D-4F7F-BA14-1BD5E81140C2}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{5985ED5B-A6FF-4AC1-AC21-367701C41284}</x14:id>
        </ext>
      </extLst>
    </cfRule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{14E8082B-3455-4317-9777-FE32E830A378}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{76C9D920-E217-4C4B-8B17-FAD9B5F7F5EE}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{FDBAC9FF-BCBF-4868-827A-E5E39D1D67DF}</x14:id>
        </ext>
      </extLst>
    </cfRule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{F46DECDA-82C4-49FC-BE21-45B43B7170D5}</x14:id>
        </ext>
      </extLst>
    </cfRule>
  </conditionalFormatting>
  <conditionalFormatting sqref="C10 C16 C20 C23:C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{65DEDEE9-9A33-4C71-9BAE-02A6FCE9070F}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{1F73F225-4FAB-4D98-B475-E93EAE0AF187}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{C12B5650-EA4D-4D63-8302-E6CE079BFD6B}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{08AA69DA-967E-4554-8D2F-615B2DC72665}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{0DAAF1AC-BE21-4D49-8BE9-DF574B4CE145}</x14:id>
        </ext>
      </extLst>
    </cfRule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{B52AF798-DE15-4D79-8154-94736FAB9271}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{32014B47-54B3-406C-9FC7-6E2B0547137E}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{790ABF28-5D40-4149-987E-281E608CC30B}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{210904DF-3F9E-4330-A295-23BDD02F9ACE}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{F5BCF307-8381-41E9-8874-DE0F3BA01AF3}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{122FA831-876C-46A4-BD22-4C2F0DD15C88}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{35F61845-8A2A-4502-841F-A09EF95C3AAB}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{03A9E75A-1586-4FB7-90AC-E194A2262CC2}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{071743BB-786D-4071-98D3-F8B49FB382D4}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{78F889DA-307E-44AA-827F-2499B40B2E05}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{8FC99BF8-EDD0-4DA8-96F4-15E626574D27}</x14:id>
        </ext>
      </extLs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{E111D239-33E0-4FB5-BB17-4635BB8B8292}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{A1B92134-A98B-4395-9A29-C9D892438071}</x14:id>
        </ext>
      </extLs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{F266FFFF-AB82-45EC-ADEF-C47340558235}</x14:id>
        </ext>
      </extLst>
    </cfRule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{DAE73F46-2561-4A3E-85A6-E515E639B2D0}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{B65C9E2C-ED39-46A6-B6B9-3B7D4FE64BFC}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{BE32AE10-7E0F-4120-8F4F-30F9AD20B696}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{C3E5CF74-AD52-4CCF-A15E-D98F5FAA872E}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{5432327F-2E10-46A7-9D0C-7C4832854F3A}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{99186948-71F7-41F0-84A8-2C18CD250BFD}</x14:id>
        </ext>
      </extLst>
    </cfRule>
  </conditionalFormatting>
  <conditionalFormatting sqref="D10 D16 D20 D23:D26 D3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{F91DD510-D750-4183-91B6-E65DE83A46EF}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{206C238F-052A-463F-B95A-C3FE68C2D908}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{C3C16C18-339F-4360-872B-B3C39D5FCABA}</x14:id>
        </ext>
      </extLst>
    </cfRule>
  </conditionalFormatting>
  <conditionalFormatting sqref="D10 D16 D20 D23:D26 D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{6C11F560-6B83-4B64-86F1-F028120448F9}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{6C074B3E-6700-4632-849B-B55D74AE15C0}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3EB6F4-FA20-46E2-8A06-9C0B7AF2FA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046B0A59-F4B1-4D85-97E0-75973FF1A7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CD3AD0-BC6A-42FD-B4D5-2C89C2273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AE8E01-94C3-4C96-8D2E-5725080DA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738BDE-C845-462F-945A-0F6586E8D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0D7592-1478-4719-8D37-6AB22DA3A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FC874F-CD1E-45A6-A743-B5D3D8CC1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C16990-9B18-4ED6-841A-4F041697A1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A2AF06-FEA9-487B-89C4-BA78FEFAC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A1818-39A5-4068-B329-7332A7ABD4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667DF3-BEF4-4EC1-A638-DBF5A20F17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5AE750-6A33-4FEF-B664-7C4725D61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97547F-421A-43A0-AAFB-9A2F089121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67E875-E053-43A0-860F-FD0D0458A5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C6838E-27B5-442C-BD5B-05C12025F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7985E2-FDD3-43B6-BB6B-DB1DDD6A70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894E8B-0829-4E61-9109-E0AC403B61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193D13-EA84-4069-81E5-BEBD1C0F39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920C9B-244D-4FC3-B58B-EF45B52E0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154544-A1C4-4D0B-B4B9-5280CFC16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5F51A3-8AA1-4E35-B295-5545B1BE5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126A5E-2489-4082-BEF8-07F014ADB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973509-5CEB-4FF2-9D72-C59314F755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539EEE-CBB4-43C0-98DF-DD3C69DCE0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ADFABA-F320-4C31-AD5C-F73F3D188B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0E99BD-0489-4774-9C17-227E22397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4FBC34-2D54-48E9-95CC-F57E3F3917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EB2D1B-F7F8-4703-A4A4-2B8AF8F6C7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B574A0-3685-41DE-A12D-87E4E4AA63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90A78C-30C6-4371-9815-4EA9B303E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6C850-A37A-4741-AE45-BAC6ABFF7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7CA5CF-04E5-4D8D-A540-3A7F5CC09E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FE44E3-6000-4D8D-B37F-4B8A8B69E6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FE598B-5B93-4708-96FA-6092595E8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8E7E05-25FF-44F2-B7C5-89E368FF9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A0338C-0B85-4B44-938F-6F75FA631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586044-153B-45E4-8A8C-AE4D31440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2D5BEE-B802-43B7-B44A-84A9DC1BC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EF079A-818E-4BF3-914A-473F5ACDE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4A297F-E583-4B89-B450-2F89C19F2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07DE29-E426-4603-AACE-09BC5297A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C931D8-0ECE-43D3-8C23-27B7DCE61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3020CB-6C05-4528-A799-AD814AAEF2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6C6135-0883-465C-B4CE-E6604C22E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9C847F-30E5-4256-A2FF-E412B39C9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5A87B2-A470-40AD-A107-F1BE5A970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7517AB-9139-4AAB-AA22-E463C86FE4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7EE2C-BF28-4102-9356-F8A494C64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B6C263-9F92-41EB-A2D2-2544273F2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6F5E6F-ABB2-4C0F-B794-2EACC4294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A6FB2D-971D-40F0-9EEE-8FB7875F4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2CB419-2636-4DE7-BB79-7BCEC2379C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F92121-09F1-4F48-9A1D-922BDE0FAB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06FEE-411C-43AD-8560-E917ACC4B0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87B06C-6F1B-409C-B589-69C48C68E8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A897F8-A864-4F78-A1B8-C7AC2D196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567E2C-0DD4-458C-B6C7-4957C1F680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D4BD66-57DD-4294-B012-6C1837459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C0336C-652F-44E2-A488-A92BF905B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EAD1AA-7AA2-44FD-A3A5-FCCC2E72D4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101795-FFB1-48C1-BBB5-DB35A6EB07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ECAB5E-51B6-4E3F-9816-EDDF5155FB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03AA9D-47AA-44FD-97A1-267E600258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34EC27-F2F0-485A-84A1-F58D267C7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92D077-2277-4217-99D1-DD68FD94D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B6543F-4A93-450B-9796-2C73605E1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6503CA-903E-48F0-A09D-1F5B92FD76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1CA943-C432-4C9B-8B3A-ED095DF71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148A7F-9208-42B1-A38B-4F5FB96365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2FEB72-EA2F-49E2-BC5C-6C62652C4F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C1B32A-ACFF-40A4-9A33-598FB1B8A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13D852-64B0-4FFB-9A40-9D8EE47EF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DFD5DE-4617-45D7-8425-C126E55CC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5A70CB-8DB0-42AF-B568-D6363D2AEC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88DBD3-0B01-4039-A58F-A6A42EAA7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0558006E-BB40-42E6-A7D7-BE35B05810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D0ED7F-027A-4D5C-B5F9-0A19752BDD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C17:C18</xm:sqref>
        </x14:conditionalFormatting>
        <x14:conditionalFormatting xmlns:xm="http://schemas.microsoft.com/office/excel/2006/main">
          <x14:cfRule type="dataBar" id="{A22BA63E-D473-4231-B599-4D629E075E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</xm:sqref>
        </x14:conditionalFormatting>
        <x14:conditionalFormatting xmlns:xm="http://schemas.microsoft.com/office/excel/2006/main">
          <x14:cfRule type="dataBar" id="{FC3EDBF5-C933-453A-AEDF-DA61A43932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7749E6-5050-4526-A7CC-6D875DF86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F2B9D9-61E6-42FC-A0ED-8A45E11FA4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CB1DDF-8DB4-49BF-B320-CCBB6D268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C868F6-D749-41BF-BB67-57B591AF9C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F7A35B-7D5B-493A-8083-39502A958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423FB4-EF28-488B-8F61-F4073FF1D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5AB82F-A05F-42DA-A2DB-C754BAF36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4345B6-673C-49A5-A782-74952F103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533563-B0A1-4237-B7F3-5332C77AA5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FF1A8A-2C80-4FBF-956D-37AA2BF2A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ECF70F-AFC5-41B8-B100-234A947918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4B82CF-EDDC-4392-A3EC-69A4466F20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736FF6-3D74-44CF-9C23-95039D505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9150BD-D2E4-449E-B589-0F577545B2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BE8973-0B45-403A-9D63-F253BFB834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C17920-94FA-4CF6-B364-32BD83104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B10DBC-619A-4ABB-A6F4-60BA1D9DD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850C89-DF67-4A7E-8AEB-1915FBBFA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7872C3-699E-45F8-BC8F-1E6FAF953E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677162-B349-4E6A-A704-C44AC8E36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DAF204-BE90-49E9-B1C6-DC4C956376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E83FF5-CA27-4256-B641-5809224A36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B26F39-AD66-49F8-A811-37C8AEF4B1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8F2594-5363-407F-A78B-962F08601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91A475-E85D-4453-BF9A-2958C819A9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3F44ED-B645-458F-8398-9920D3FF9B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A76729-7D23-4C4D-8EBA-4714BBEB06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1D84E1-7A6C-4534-9C61-53E87C5FC5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D6F6DC-C5AD-46E1-88F1-774607CEC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9E032A-D7D3-41EA-90D9-2A00800C2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131C94-4F4E-41FB-91FC-B3D70CF7A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1FBF82-DF54-4627-A7AE-E8B4F7B5A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C26882-5B15-4938-84D0-3468F633D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20395-F92C-4CD1-8B7D-5B2CC595C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D2163A-7ECE-4D23-BD76-6FDF746047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280022-2612-4922-8950-77E17489E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E54374-98B4-4EE0-AD30-600F96065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ECACBF-03B2-4370-99E0-9B28905780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645E6B-3943-4C2F-88C5-50E435755F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1B3988-99F7-4006-A5BB-63BAEBCE1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BD6F48-717A-4E14-8F71-6A197AC65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72777A-2CDC-4EF0-B46B-CA09A4BC6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F966D8-C2D3-4371-9BF4-31167430B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C17CA2-1092-42CB-87F8-86884F61A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932E96-B912-4FCA-BC41-3FD27C44D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287014-7ACF-4307-92AF-37863C66A2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B3E7C3-A2E8-4EB4-8E20-F52B3FB46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F19061-3DF7-4D9B-A876-9AB5C7E676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27864D-4EFD-4F9B-A5B3-84A0C5D56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835310-06E1-43B1-9345-60A4EE1262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3FB23D-3BE4-4861-A66F-2922492EE0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B9546C-0F2C-453C-BAE0-741C31903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B56FA9-7D51-4D11-A021-6AB232F20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89600A-3DEF-4D64-A1D8-0BE23EA37A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8EB05A-A04D-4CDA-A1C1-0BE71B35BD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09C5C9-B362-4E7D-B929-E7B3B14D6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A2FEB7-C497-4173-89F6-0A5EDD4FB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F80AD8-EC68-4416-8AC2-85BA40EE82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DFBE48-1055-4CC7-82B6-FE2AB1D3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8C7B4B-EDAB-4AC9-80F3-35A63C63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599882-91BE-4F13-8D58-C30FC61C38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101A75-E2FA-4D60-832F-DB9FC644D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423AAA-1A3D-48AE-AF60-186F3557C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F4C454-0628-4D32-AB1D-80847CD9F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479E49-F2B5-4C62-989E-D07C35248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B4C3B1-D022-40B2-BF10-0E256A7716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E8F4D4-71C5-4A7F-89E2-CCE0435BA3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6A84A2-FBA1-421E-AE9D-3FF40C0483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47BD31-F54C-426A-8373-95C08E43E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B4171E-4D3D-4AFB-99A9-43162C7DE0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854327-A17A-4969-8FA3-261008E403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663CE-195C-4B56-9A9F-0B3297B60A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6064EC-32A6-45F7-AB30-B5298E8103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3FFC4D-048B-4B17-9F8F-F03737F4E2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E196D9-E387-4FB3-811E-D6F8F4C9B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7A2E09-D7CB-4799-976F-86260BCD4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3DD5FF04-39AB-421D-9D9A-C564B2C2B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EC0F48-C4B0-4ABF-BDA1-36303EB786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4C794A-6675-4DCC-A6D6-8F4D2C23B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60878C-5F28-4BD7-98B7-5A304E63C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919622-A950-4C11-804E-6EBD3E20D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CDDA12-8655-458B-A98C-FBC4FF72C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485CC1-02E7-499C-81E0-7C7585A2BA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3CE4E0-E35F-4ADF-A1C4-E4F75B4C3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FC0188-CCE3-456D-9492-43E6AC6A04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9D90D7-5507-420E-8D32-279263493E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81E354-D348-4DF7-A4FC-04B8C0C1B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A2242B-106C-4317-B3E6-E819C0EE2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5227D5-35A9-4E1A-A036-8F204D1E54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65F949-6E20-4C5C-B0CB-93913E47E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EC6F05-E30B-40B1-BC31-2530FCE4B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A9B279-EC6C-44AF-91C0-22901BD14C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D0F4EA-A2E7-4439-A318-7FFFFD838C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D35280-A5DC-4DA1-834C-2B2AAEDA85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A09CB9-D4C2-40B8-B02D-FA1FBE9635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CEC1BC-A2BC-474D-96F8-51173C387C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4670BF-E171-408C-8756-3CB5EDB20B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14B3C3-3E6E-49B6-9136-72C97AB97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AD6186-7D9B-475A-ADA8-EE18D3AE0A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4E38C3-01B4-4DB6-B4BA-0DFEDC303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05ACF6-580A-49B0-9A98-56ABA9BF97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301B51-68F4-4F9C-B507-A5F4F8E254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023287-96AC-49C6-9401-F9E0733517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20B430-D093-41E0-A96D-8DE540228D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0BB0E6-C748-4C41-AD0A-5626BC6723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E98658-DD34-44CD-8A0F-966C7FF87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3FA915-5B46-4551-AD8B-6106AE9D61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65A66E-84E9-43AE-9A89-7E6AD2725C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BC0301-FDF9-4B06-9F0E-88A911A74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C17:C18</xm:sqref>
        </x14:conditionalFormatting>
        <x14:conditionalFormatting xmlns:xm="http://schemas.microsoft.com/office/excel/2006/main">
          <x14:cfRule type="dataBar" id="{95AFE3FB-E2C0-4B4D-87F7-AD8AC9084B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02ACFD-3284-4A51-9A85-7DD09B7E6A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44E60-008B-46DF-AD9A-A888CBE36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</xm:sqref>
        </x14:conditionalFormatting>
        <x14:conditionalFormatting xmlns:xm="http://schemas.microsoft.com/office/excel/2006/main">
          <x14:cfRule type="dataBar" id="{05AD5693-97E3-4F2C-A203-3A1C6877F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067059-22D8-4074-B193-C771FE9DFD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D17:D18</xm:sqref>
        </x14:conditionalFormatting>
        <x14:conditionalFormatting xmlns:xm="http://schemas.microsoft.com/office/excel/2006/main">
          <x14:cfRule type="dataBar" id="{26C3612E-1312-41CF-B52A-A78BD2F17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361A86-86BF-43ED-9C60-B723EC8FA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C33:C34</xm:sqref>
        </x14:conditionalFormatting>
        <x14:conditionalFormatting xmlns:xm="http://schemas.microsoft.com/office/excel/2006/main">
          <x14:cfRule type="dataBar" id="{B487DC24-E7F3-4A47-B78A-15742896F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DBF18-F88C-4B10-A1BD-7B3B43956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CABC1E-3B46-43EC-A781-FBE6C19FF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410CEF-CD1E-41CE-9D38-05C1AEA4A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926E85-642F-40AF-BA9A-C3CB2B76E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63A448-1FA7-4412-B6FC-6786707A50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A17157-E8B0-44B7-A595-6E6BD341F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3C66EA-6093-4930-8673-549C9C6A3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7484AD-0BBB-4BA9-BA87-D51FF2E31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6AF69F-E4D6-42DF-86F1-340D54CAF3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C23:C26 C20</xm:sqref>
        </x14:conditionalFormatting>
        <x14:conditionalFormatting xmlns:xm="http://schemas.microsoft.com/office/excel/2006/main">
          <x14:cfRule type="dataBar" id="{1F0EB4CE-585E-4CAC-922A-37F1BF452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798DF9-9CF8-4CAB-8DB1-87619C188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80F8EF-0E2F-4AAF-AB60-A703461729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A1BF73-AE1C-4C99-A34F-A6861E33C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CA42FD-28C1-4063-8A01-818A291FB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BD6A77-F9B5-4BD9-BF76-B611F7419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04A54E-502B-48C4-8F69-549611ACB2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584B57-D839-4558-ADB9-CBD973470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40422D-1A15-426D-BDFE-0516D461C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DA7C10-6025-4F36-B4F4-87FD4E1C4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</xm:sqref>
        </x14:conditionalFormatting>
        <x14:conditionalFormatting xmlns:xm="http://schemas.microsoft.com/office/excel/2006/main">
          <x14:cfRule type="dataBar" id="{E12ECE98-663D-4F48-8724-25A7589393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402754-02C9-41D5-BB36-D98A879B9A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64FD85-13BC-45C5-A6F5-47285C0D4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B3BBE5-2403-463C-A2D2-A22D91713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583DBB-F203-4BCB-A180-32CCBC024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BD3B8B-D6DB-4A9F-8CB2-DB5EB6C3E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399F93-C0FC-4ECC-9C8E-2E4A8A55E2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8D397-1BF6-4240-BB29-E8E34BCD1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138814-D1AF-491C-B263-B207BDBF4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E437A-A799-4324-884B-6176486528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37855-94FD-4B6C-8581-2241D46994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730264-F83E-4207-8AE0-3BD6A9D7B7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CAC573-D65A-4776-9671-37E0D32B2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3134DD-E587-4D8D-8DBF-BF8D268DC2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73486C-FF33-4969-981D-5172548AB7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BAFBFB-35ED-4125-9605-0B4B626255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DFCAE9-0A42-4962-9DE3-73E057FEF9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74EFD5-601A-4BBF-B674-160E90CE7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F42ADD-1900-4B0B-B3C2-352D4879F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E24121-96ED-4DC1-8D10-6E7BC1ECF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50FBEE-76F3-465E-98A4-1AFF633B0E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5DA596-DB4B-4667-8DEB-8ACE49D18F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F8EDCD-5A70-4220-ACAE-51C742873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D0E384-9105-4602-978F-C93259EBCA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64AD62-3ECF-4FE1-AE7F-6AD455738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E6F19A-3AC8-483C-AD55-BA4FFCCBD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0FF53F-BA93-420A-9299-9BBF4CE1CF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4A84D4-DE63-4530-B969-D918AE6D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850A6F-29F2-4125-A38E-3DAE4A1796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D269E5-CB1E-4A1F-AC8B-1740E50953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15053A-129D-439F-956E-EE254D5B5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220E84-C678-429E-B775-EFE9C3007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78D8AF-3939-4577-AB93-77B7244E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411B68-B391-41DF-A7E6-6303DBC0B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FFB377-B162-45B2-B24B-AC0A86E9EC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2E002A-F2F9-4696-9EB8-6C1E7D3ADF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0E4E04-50E6-48A7-93E7-921ED93A30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128CD2-F257-4C2D-9F4D-AE2FEEEB0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8884E8-3375-485C-BE6D-EDEBC622B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AF95CC-1C70-44B1-9EF4-9C0E43E20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0BCF4A-D509-4EEF-A1A6-5DA24F3E0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79F5B1-4FB6-42F3-B36C-0698B5E059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C7752E-C170-4446-A8A8-7B1AB64B4C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105A73-49A7-4CF5-AEBE-3494D3045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CB28A5-8959-4253-8DD8-AEF6AAF4B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196AE3-2D61-4E36-A7D1-3B43B5835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1949E-DAE5-4C6A-96E6-7FC7162CF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F43E34-7508-424E-8A30-D2A15282F6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C8DB34-B3A8-4EA1-A936-AC89F514FC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9CF294-FE6D-4A44-A8C2-3DFE64040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174A3E-5B58-4B67-8F3D-D383595D5F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742243-0866-46AE-96B7-E732CE431A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619878-D4B3-4E17-9D10-7E690C04D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31D637-E892-4341-9BE4-B73A7F11E4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D61737-EF1F-4AD8-BD1C-1214C6614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3168CB-81C6-4DEC-BE7B-FBC1C11B6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BC537B-AC3A-4A05-8B3F-C43BD10AA2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D08A6B-77A0-4296-B2A8-67A2C704C5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A7CD5A-F509-464B-9FE4-3FBE81E720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4D1DFE-4197-4DBB-9635-A899E24B48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36FE1C-ECB8-48C3-925F-F42DCD54DD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2F6674-9E23-44D3-A01A-5E61F361E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78A5F4-7CFF-474E-8E1F-97FF825D4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00397D-0B9E-44CC-A5C0-362F75E11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F53F19-DCE5-4534-AA45-0F850CEB71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63CE0A-6432-4193-A067-A38E3FE0A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936E8A-56CC-4EA1-99EE-64F7F7C69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A73A14-E160-4618-BF50-E75772628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F3D067-1D98-483E-BEC5-A52A660EF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7170F3-6E34-4C4D-B068-59969B69F2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FC2367-2F29-43D8-865D-14645D9B17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046B40-3A98-458F-BB52-11829E241A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6AB6C6-5E83-4268-9C8D-2008B9819A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18CBCC-051C-4B60-8294-6D6359DF90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</xm:sqref>
        </x14:conditionalFormatting>
        <x14:conditionalFormatting xmlns:xm="http://schemas.microsoft.com/office/excel/2006/main">
          <x14:cfRule type="dataBar" id="{E9A0DF44-8C9C-43B1-8AE6-8D7AE380B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</xm:sqref>
        </x14:conditionalFormatting>
        <x14:conditionalFormatting xmlns:xm="http://schemas.microsoft.com/office/excel/2006/main">
          <x14:cfRule type="dataBar" id="{B075E38C-C4FE-4CAC-852A-22FFA2C9D6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560547-D1CC-4C32-B071-4069DA39E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5AA717-78F0-402C-B8AE-E1168BD9D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580580-FC7D-485E-A7F7-660C71C90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7E1384-75CA-479F-9D1F-009745CFD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013204-9E8E-4371-8FEA-210763DB4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FB1A18-36EF-465A-A389-A0156FD5A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A28DAA-019B-48D9-AACF-ED1EBBC043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CC3885-5156-4A28-945F-B72E82F2D8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68A297-2F64-4117-B4DE-3EAEB91FF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2FEB7D-ACE3-4712-97B1-8C327591D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A07DC-6F2F-4503-AE82-FEB04A8D1C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837416-8970-4E9E-A80B-0266D12FA7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B6F23F-ADC7-48B0-8B14-404F6B59FA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4188FB-1983-4433-AA13-C719717DD9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8B7EBE-018C-41AA-96B4-71728700E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D4D521-7B1D-4406-8DED-55F379F2C0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5E7DDC-4254-4091-8CEC-FFC9DF7EF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4B04E9-6F55-40B7-ABAF-42AFD8716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C27ACB-FB3A-4949-BEA9-625DF8D3E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8AE625-A526-4385-86C0-D465929DC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3A6435-5FB6-4F58-9555-714EEA27F9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F261D2-38B4-4791-9E52-3D68E301A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B511C6-18AB-45D1-9B03-4B7F143E0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A6C4CB-5A23-470E-8956-1EF567038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4DA9B5-49CF-4D02-BC7A-EAD9EFB037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92046D-6DE2-4593-B931-F04747AD7F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77A374-69C7-475E-BF05-0D7E134B0F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FD8DD0-E83E-47C8-9E97-80BF1F8FDA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9443B8-1262-4A88-BF74-A2862D0AB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5DFD90-44EA-4253-AE2D-7F8B1C1CA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0698AD-6EF5-43AA-A31F-414E625CA6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98BBC5-E0EA-4B83-AD49-A06862604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949DDC-8B2D-4F5E-8BDB-D45DD11E77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D984DD-7B85-4366-B2C5-B8A4D8086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E98CFF-1407-445C-A739-2AD438A354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7E5447-8C45-4DC2-A7B3-986F79FE99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DAC33B-8048-4604-8832-3BCF8BFF97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692190-5251-4310-BE52-596D352FA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244ACD-EEA6-4B14-BF9E-E8ABA13A5E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086AB9-29DE-450E-B4D4-384CCAC32D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6CBC74-3BD8-414A-B908-1B10597BA4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56D9A0-5AB2-4F65-A858-D9F565571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C927BB-D4F1-47BA-B5DD-9E88099437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2E71D-C45C-4360-8F31-8C5CBF9DF2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DC06DE-D1AB-4F78-81AB-01BA730BD1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03453D-ACA3-4FD7-A225-307C41870C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CA42BB-8F68-4942-8A03-1FEB0D5C5D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458D81-31D2-4F7B-892A-FA012DCC11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B20C2-DB19-4CB5-AAA3-ABD974D55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3B139A-D73C-44CA-BB64-AE1AE816A8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3639BF-7DB2-446C-92A0-41F12B743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7B3658-7B3C-4E60-BA9B-B3DA593E5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60898B-60FB-4044-8ED8-7D57525A34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DBB74C-FAAF-4E7A-AF5B-CC757D2FB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5EDE06-524A-4A29-A39A-B27B297F88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57A068-E98F-424F-BC98-32FACE566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BBF7F7-BDFD-436F-B019-F52D09F8FF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09DA39-B9A7-41CE-9C35-F8840D9869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F95FA2-59F6-40B3-A0CC-9999E49A8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8CDFF7-89EC-4BFA-9464-4FA93320D9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382F1C-42B5-432C-95BD-4ABCD97B3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0379FC-7882-497F-9006-6F1438802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A146BE-3EC0-406A-8674-3F3DDC9BF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62F84E-72EE-401C-A8C0-CA8D334FB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93C0FD-0942-4754-9E83-77CB48944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439490-7A84-4390-AA2D-70A5278EFF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7E2CA5-4027-4C7E-B262-C031E4B4A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B426BE-D249-47FB-A1B6-BFAD2420D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603365-3BE4-49AB-B1E8-C065355FB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EB598F-3557-4E88-A191-A70CB9C94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37912C-51F7-4BD9-AB94-E83F7D65C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F95ABF-8DEE-4522-8B15-0A07AEC5A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1C59AF-56EB-45F7-9129-C3C6B0F3D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C34</xm:sqref>
        </x14:conditionalFormatting>
        <x14:conditionalFormatting xmlns:xm="http://schemas.microsoft.com/office/excel/2006/main">
          <x14:cfRule type="dataBar" id="{55331349-F31B-430A-A0C1-6A82C9BF4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6529F4-B610-4C37-A1AA-F16C79E7E1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CA5D0-E95C-44F2-9EB0-AE2EC6ED1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9D051C-FF09-41AE-8734-130905AE12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686B1D-A043-47E7-BE71-10466E550F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CF76DB-2796-4652-B81E-787C190C6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D47F7A-F7A7-426A-83A3-48DFAD5C68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1D75CD-AD44-47BB-90FB-A690A5F6E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DD744D-3E6C-4011-873F-D7F14BF7A3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B42368-6533-44E9-9D8C-2A6DB7633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A5D1D6-4839-4B2E-B092-EF4083FC1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A65EB2-599D-4530-9FF2-D735E484BF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BC6416-3023-4FA9-8602-B4FD3725CD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CB5FAA-D3CD-480B-8934-7323C60FC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7187FA-1A4C-4B2B-8313-E774B2AB64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022591-F6A7-479E-895E-9613C8D3EB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E193A8-268D-4007-80C3-823BDC8B7F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9F99F2-2191-48F8-91C5-9B2F0096D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6EED7E-E590-460A-A014-2198F1B89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D92CCD-DC61-4371-9DB8-58E37CB1BC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1E4809-E1DE-458E-BDFA-91F5855E21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E3B834-CF84-42A0-96D6-6579183713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B05326-F62D-4D3C-AB4D-B22802542A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2EF31-06B8-4689-A670-D8C06B2C3E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86DCCD-4973-4B3B-81C8-F404A7B32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C796BB-D1FC-4191-8F00-07AF65C47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7C0742-49AC-4C69-B6C7-EFFBA7032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074FF3-F38C-478E-8879-CB7A3FC16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822ED2-8800-40B4-AA1F-696EE978C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2120E1-CBFD-4368-BC69-51DC47CEBA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4535AB-309A-4634-AC45-9F3A74F481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BFB522-91CE-4ACC-80A8-FE0C9825BB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99BFC-F37B-4C75-91AD-A0C0FFA2E2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F5029A-CC26-4B35-956D-9ECD7D62B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F947A9-58B2-413A-9B51-09CC57CA6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74FCFD-9203-4E92-A11C-750CA1A51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6A9D8D-EF20-4437-9217-E619397DBF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01BFB2-1255-4726-B59B-E319254394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4267E9-2A3B-4B47-9C57-9753A961ED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FA3806-455A-400C-BB77-556C4F619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F99368-9122-45EC-BD6C-5C629B168C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AB6BAB-B524-4A6B-9279-8E54AF7380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DD48D8-19D1-42D6-A905-88271EF9EB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17E5AC-CF85-47FE-BE22-4A109C8BE5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FA0148-6B2C-430E-B57B-A6ACABD2E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890D33-8078-4768-83CE-3BE893ECF3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73A741-51A5-42F8-BDC2-547DA50F4D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9AF186-8595-4260-AAE2-4253887893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401F5D-94B2-4716-9272-ECABAE395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89C245-8229-4299-9A41-FC74319B10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6CA661-762C-4D14-B290-DEC4C0AA64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2C14BB-AF51-4D75-B538-86015377D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F19277-56CD-4788-ABA9-5C1BFAA9B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B2297-80BE-448E-883E-61433BD83F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2143CF-DA30-4599-BA25-BCC5B0921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DEBF71-99EF-43E9-9D11-F47878CC79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EB90F6-00A6-4336-8EB0-46F7E43A4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55D038-487B-4C5B-9409-1164A490BB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C182CF-31B5-404A-A4C2-DCCA9E7BB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795AC6-BA42-453C-95F2-67F5E58CA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2B8979-5F85-4627-8577-BE84560041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D88220-6224-4677-A416-3B2CFB1D09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4AF64B-689F-4054-B026-249DDDBAF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E47367-5672-46A3-8A23-C4658E1E20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4367C0-52EE-40D4-A17B-DF7575BA08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BAB33A-8BAD-44F9-AFB0-C67D5A17A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478849-A587-4BED-9F4B-68A820381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CC3D38-63DF-4E53-87BE-F36E575DEE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D36F5D-4C87-47F5-A31C-8CDF9D5BC5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435817-9F89-423D-B480-C08D306D0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617053-184A-417C-ABA9-65BA7199F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4D828F-8DC6-482F-B525-9FFDDCB4B0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982271-724F-4871-A530-DEE5D75EF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6714B0-1120-4A6C-B08A-3E4D57D7C4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2447A170-160C-4FC8-A0C3-780DF54D9B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A88432-CCFC-4022-946F-A80C300C18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C11:C12</xm:sqref>
        </x14:conditionalFormatting>
        <x14:conditionalFormatting xmlns:xm="http://schemas.microsoft.com/office/excel/2006/main">
          <x14:cfRule type="dataBar" id="{D9065526-CFA3-4696-BF33-7E83599A51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83CB440E-15FE-42BA-A641-413EADDBAF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E71FCD-C467-43A0-BD19-5F211A062C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B77CA-35D5-4172-92E3-90C4812EE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BC1B2E-77DE-4BCF-BD14-5A2E9124B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3E3706-6008-4C91-AE30-C3B03A3872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B9A2F7-AB8E-452D-A66F-73C801ED2E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A536DB-4CC4-4422-A8B4-A79805B1A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5F2ADF-5ADF-4658-A2F3-5D2623C74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715615-C282-465D-966E-0E52918DB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32AE8-C5E9-4CC8-AF0F-AF32A534DD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A1080E-8A50-4EB2-A005-6173A280F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B81052-27CA-4E40-8C83-EA3BC28615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E6A14A-144E-4CAF-854F-AD48EB200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8C55F9-2002-455F-97E0-27EF26775F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67E40B-AF3F-418E-81FE-28D10472B7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66F15F-5DB3-4893-B0C2-D94C949B4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10127-827F-4434-8971-5F4BBF891B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C39A42-6899-4A77-BAD6-C4A5921559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0DA022-BCFC-429B-AB4D-5998DEC13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18BF29-E7A4-426E-B487-B3BFCAB08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D7934E-824B-4E37-8724-6901F9994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564C2B-6C38-4446-80CF-68CFD78A8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8CB28B-CB7A-4DE2-897F-4114A72BDA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272F15-E1A3-43A9-83D5-8853EABCA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8921C6-D148-4BC2-95BB-AB83EF9C96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399E64-7D43-409E-910B-6F3B58DC65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1B1655-6BB1-4BAE-93D2-CF8A53EE4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E4D92-634C-4C91-B1BF-7A7C0B223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DD4708-E206-4FF9-95C1-1CF49C542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67D761-3898-4449-A56F-C48DB9D2E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8A437C-4EC0-4BD7-9BA7-DF808321B9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B64678-9D2E-4E78-971E-E039D737D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2F54DE-779F-437F-9D4B-6732FD0BC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7F59FC-9196-44E7-8892-3360F1E6B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12CC42-CBE9-4F34-B005-91A55C45A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8B43C2-FC65-4C18-A7B7-4A29A566BE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C4F330-6F40-4CAA-BA96-70D4ED80A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486464-D9C1-4793-8261-58F2B724CD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F6B8C5-0BB1-46D2-81E8-A24F1AC1E8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BC1159-6D26-46A5-85B3-3E70D5CDD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235BB8-6656-4DDA-B6A0-1D45AB5E3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BD938A-78F7-4216-BF34-8183132CE6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7E574A-D155-430C-8E83-8BABE36C0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622F01-B3C4-4954-A70D-AAD6941B08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C2319A-EB09-463C-9164-01281800BA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075815-F0B5-45C5-AFFC-CEE820BF4F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A088DE-43F0-4F9D-96D8-347BB3909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CEE950-CA4B-4DCE-8FF8-BE11AE4B0E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40165C-4400-4684-8401-8EC1144FAE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5612E-E8D2-48F3-9CCC-FEDAB2283A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777B6B-2BBA-4C05-A1C6-46BDF6986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8FE7BA-6FDC-4B6F-A7EA-A3A0D406DB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F20797-83D5-4B4C-B245-E2060DEDA6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CCC181-A827-4AA6-B4F3-453C556F0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EAE831-B353-44B8-A290-F1626FDF7F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85C5E5-554C-45BA-8267-1BDDA239E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4C05AC-59D0-4497-9780-DC35D4CC7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AF4828-8884-4FB1-ABEB-EFC9A75ED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FE2AA-52FF-4659-9CD4-E6F42F75D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13806-3591-4E47-AED2-D551752E7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2CDE50-85EE-4CCF-9F4F-986BA1CC0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B6A838-16AB-4FB1-B6C3-CD6991AD5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3D2AE4-312C-4EFA-A380-282BDD338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A4739C-6881-4451-A410-78B93BA6A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22C021-FF18-4A51-93DA-C4A28F6B9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6690CB-C124-4C2C-B8E1-97ECF2F69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94DEA0-3E7B-42B3-BA83-1903BC793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B729A-3DB3-4B3A-880D-A2EF09661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DD0EA7-89EC-402D-9E19-104009572C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FEED17-9D22-4ADE-A83C-74061C239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4674E0-BC09-4C1E-B44A-4C679A3EBA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09B5A4-AA95-423E-B86A-A81A16151A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7B91A3-9060-42FF-809C-0CB577CC8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BC97CF-86A1-4D73-B4B5-0E6DB33F3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</xm:sqref>
        </x14:conditionalFormatting>
        <x14:conditionalFormatting xmlns:xm="http://schemas.microsoft.com/office/excel/2006/main">
          <x14:cfRule type="dataBar" id="{A46D5248-156C-4B49-B452-D5B3510F14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E1AFA9-6977-45D6-9032-0B23B94CF2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C27:C28</xm:sqref>
        </x14:conditionalFormatting>
        <x14:conditionalFormatting xmlns:xm="http://schemas.microsoft.com/office/excel/2006/main">
          <x14:cfRule type="dataBar" id="{20AC9962-568B-427E-BA47-CE7C517FF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</xm:sqref>
        </x14:conditionalFormatting>
        <x14:conditionalFormatting xmlns:xm="http://schemas.microsoft.com/office/excel/2006/main">
          <x14:cfRule type="dataBar" id="{B728A15C-1789-47D3-9F43-ABA8CDCA7E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5FA8E4-2586-4DFC-8482-B72FD72E1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83CDC0-9047-4479-9120-6AB96F8C13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DB6D40-470D-4DA1-BCAE-472F9566A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77D289-722D-4778-A399-BC9101A1D5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B2672E-9900-490C-91C3-4F0A155179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3C359E-BAEB-4B9E-9FE8-8C2C617938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852DB0-4656-4377-9AAE-8A515B509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6E8A9-E8D0-4FE2-BBD1-29B086953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9B5E6D-BD93-4033-9673-08B7411265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A02F9D-69FA-44FC-A70C-A07E6771C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6F90EC-2404-4D49-ACDF-AB1A3D8F75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1C97DD-4718-4667-B005-E0B9FDD39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09BD15-DAE2-43EB-AF10-4147E10E99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4B8A78-0202-42A9-A56E-243E8B1ED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2B708D-9D79-4B79-AE1E-C12C53DD14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7EAD5E-9687-4C67-B875-F5D1FB3641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B7CC2F-C3F1-4ED9-A9A8-F56BF2247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650397-73EA-45BB-938B-56F172891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19C54C-DB9A-4BB8-B72A-47B8F4C968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46DD60-1D97-4ACF-B003-9478805D2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30DD88-B107-46FF-8B1E-D867C0E14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3F4A89-A3C9-4455-B612-9D1335C1C7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970A4A-4C26-4E74-BFF8-E55CE1ED8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7D7BD6-C0CD-4220-8BB0-CD94B883D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FB3394-7A17-43A9-A0BC-69D77DC1AE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F11FA4-4ECF-4B79-8D89-4834221C1A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08BF13-B123-485F-8956-3A5E05105F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CD3845-9EF4-4DC6-A0EC-4DC72FA71B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52EB8D-B72E-44DA-88ED-28BACDE5F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D4EF25-BA98-432D-B08D-8BF237157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F50B91-1950-4582-9563-AFAD260AB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2585A8-DA06-4103-97C3-10823572A2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C12299-ED8F-47E5-AB35-3335E654DB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BC62A9-8887-44B7-A3B5-179BB43420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22BC99-850E-4FB9-AB21-583B9D04F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70FA2E-E49D-4F7F-BA14-1BD5E8114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85ED5B-A6FF-4AC1-AC21-367701C412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8082B-3455-4317-9777-FE32E830A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C9D920-E217-4C4B-8B17-FAD9B5F7F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BAC9FF-BCBF-4868-827A-E5E39D1D6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6DECDA-82C4-49FC-BE21-45B43B717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65DEDEE9-9A33-4C71-9BAE-02A6FCE907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73F225-4FAB-4D98-B475-E93EAE0AF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2B5650-EA4D-4D63-8302-E6CE079BF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A69DA-967E-4554-8D2F-615B2DC72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AAF1AC-BE21-4D49-8BE9-DF574B4CE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2AF798-DE15-4D79-8154-94736FAB92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014B47-54B3-406C-9FC7-6E2B05471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0ABF28-5D40-4149-987E-281E608CC3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0904DF-3F9E-4330-A295-23BDD02F9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BCF307-8381-41E9-8874-DE0F3BA01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2FA831-876C-46A4-BD22-4C2F0DD15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F61845-8A2A-4502-841F-A09EF95C3A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9E75A-1586-4FB7-90AC-E194A2262C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1743BB-786D-4071-98D3-F8B49FB382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F889DA-307E-44AA-827F-2499B40B2E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C99BF8-EDD0-4DA8-96F4-15E626574D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1D239-33E0-4FB5-BB17-4635BB8B82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B92134-A98B-4395-9A29-C9D892438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66FFFF-AB82-45EC-ADEF-C47340558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E73F46-2561-4A3E-85A6-E515E639B2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5C9E2C-ED39-46A6-B6B9-3B7D4FE64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32AE10-7E0F-4120-8F4F-30F9AD20B6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E5CF74-AD52-4CCF-A15E-D98F5FAA87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32327F-2E10-46A7-9D0C-7C4832854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186948-71F7-41F0-84A8-2C18CD250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 C16 C20 C23:C26</xm:sqref>
        </x14:conditionalFormatting>
        <x14:conditionalFormatting xmlns:xm="http://schemas.microsoft.com/office/excel/2006/main">
          <x14:cfRule type="dataBar" id="{F91DD510-D750-4183-91B6-E65DE83A46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6C238F-052A-463F-B95A-C3FE68C2D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C16C18-339F-4360-872B-B3C39D5FC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 D16 D20 D23:D26 D30</xm:sqref>
        </x14:conditionalFormatting>
        <x14:conditionalFormatting xmlns:xm="http://schemas.microsoft.com/office/excel/2006/main">
          <x14:cfRule type="dataBar" id="{6C11F560-6B83-4B64-86F1-F028120448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074B3E-6700-4632-849B-B55D74AE15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 D16 D20 D23:D26 D30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Nur</dc:creator>
  <cp:lastModifiedBy>Dine Nur</cp:lastModifiedBy>
  <dcterms:created xsi:type="dcterms:W3CDTF">2026-08-12T04:36:13Z</dcterms:created>
  <dcterms:modified xsi:type="dcterms:W3CDTF">2026-08-12T04:45:12Z</dcterms:modified>
</cp:coreProperties>
</file>